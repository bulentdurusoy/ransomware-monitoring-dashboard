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set" sheetId="1" r:id="rId4"/>
    <sheet state="visible" name="Summary" sheetId="2" r:id="rId5"/>
  </sheets>
  <definedNames/>
  <calcPr/>
  <extLst>
    <ext uri="GoogleSheetsCustomDataVersion2">
      <go:sheetsCustomData xmlns:go="http://customooxmlschemas.google.com/" r:id="rId6" roundtripDataChecksum="PLT6d0+vd3Slg44Xbw/VcfJKa93AO7C703l+cAGQFko="/>
    </ext>
  </extLst>
</workbook>
</file>

<file path=xl/sharedStrings.xml><?xml version="1.0" encoding="utf-8"?>
<sst xmlns="http://schemas.openxmlformats.org/spreadsheetml/2006/main" count="828" uniqueCount="318">
  <si>
    <t>date</t>
  </si>
  <si>
    <t>ransomware_group</t>
  </si>
  <si>
    <t>country</t>
  </si>
  <si>
    <t>target_sector</t>
  </si>
  <si>
    <t>attack_vector</t>
  </si>
  <si>
    <t>technique</t>
  </si>
  <si>
    <t>severity</t>
  </si>
  <si>
    <t>ioc_ip</t>
  </si>
  <si>
    <t>ioc_hash</t>
  </si>
  <si>
    <t>2026-06-26</t>
  </si>
  <si>
    <t>Play</t>
  </si>
  <si>
    <t>United States</t>
  </si>
  <si>
    <t>Business Services</t>
  </si>
  <si>
    <t>External Remote Services</t>
  </si>
  <si>
    <t>T1133</t>
  </si>
  <si>
    <t xml:space="preserve">951220bca521096fed0311382ba37365f294ec43af87801664e7cff34ee53fe7
</t>
  </si>
  <si>
    <t>Nova</t>
  </si>
  <si>
    <t>Australia</t>
  </si>
  <si>
    <t>Public Sector</t>
  </si>
  <si>
    <t>Data Encrypted for Impact</t>
  </si>
  <si>
    <t>T1486</t>
  </si>
  <si>
    <t>176.65.139.256</t>
  </si>
  <si>
    <t xml:space="preserve">2551e64498ed723fa2b258c9134ee299308ef91c82e14b9e873fc06dddb8f3f4
</t>
  </si>
  <si>
    <t>Payload</t>
  </si>
  <si>
    <t>Costa Rica</t>
  </si>
  <si>
    <t>Healthcare</t>
  </si>
  <si>
    <t>179.43.139.126</t>
  </si>
  <si>
    <t>1CA67AF90400EE6CBBD42175293274A0F5DC05315096CB2E214E4BFE12FFB71F</t>
  </si>
  <si>
    <t>Unknown</t>
  </si>
  <si>
    <t>Technology</t>
  </si>
  <si>
    <t>Command Line Execution</t>
  </si>
  <si>
    <t>T1059</t>
  </si>
  <si>
    <t>67d5d8283346f850eb560f10424ea5a9ccdca5e6769fbbbf659a3e308987cafd</t>
  </si>
  <si>
    <t>Phishing</t>
  </si>
  <si>
    <t>T1566</t>
  </si>
  <si>
    <t>104.243.35.237</t>
  </si>
  <si>
    <t>456B9ADAABAE9F3DCE2207AA71410987F0A571CD8C11F2E7B41468501A863606</t>
  </si>
  <si>
    <t>Obfuscated Files</t>
  </si>
  <si>
    <t>T1027</t>
  </si>
  <si>
    <t>e81a8f8ad804c4d83869d7806a303ff04f31cce376c5df8aada2e9db2c1eeb98</t>
  </si>
  <si>
    <t>Chaos</t>
  </si>
  <si>
    <t>Germany</t>
  </si>
  <si>
    <t>RDP</t>
  </si>
  <si>
    <t>T1021</t>
  </si>
  <si>
    <t>107.170.35.225</t>
  </si>
  <si>
    <t>11cfea4100ba3731d859148d2011c7225d337db22797f7e111c0f2876e986490</t>
  </si>
  <si>
    <t>AiLock</t>
  </si>
  <si>
    <t>Chile</t>
  </si>
  <si>
    <t>Privilege Escalation</t>
  </si>
  <si>
    <t>T1134</t>
  </si>
  <si>
    <t>3c7c91cd4dc336db8082e07ab7549556f05d80acbc778afc2dade67c02002f69</t>
  </si>
  <si>
    <t>United Kingdom</t>
  </si>
  <si>
    <t>Transportation/Logistics</t>
  </si>
  <si>
    <t>Defense Evasion</t>
  </si>
  <si>
    <t xml:space="preserve">144.172.95.78 </t>
  </si>
  <si>
    <t>054f55ec93aca9bac362b9d91eff36a7ce451e7caba47c0b2e004ba429f9529c79</t>
  </si>
  <si>
    <t>Cmdorganization</t>
  </si>
  <si>
    <t>India</t>
  </si>
  <si>
    <t>Manufacturing</t>
  </si>
  <si>
    <t>Inhibit System Recovery</t>
  </si>
  <si>
    <t>T1490</t>
  </si>
  <si>
    <t>209.99.286.211</t>
  </si>
  <si>
    <t>07c14b82f673ba5caa8c1188f052ea31583f0af7</t>
  </si>
  <si>
    <t>Akira</t>
  </si>
  <si>
    <t>Exploit Public Facing Application</t>
  </si>
  <si>
    <t>T1190</t>
  </si>
  <si>
    <t>154.213.12.163</t>
  </si>
  <si>
    <t>1d846592ffcc19ed03a34316520aa31369218a88afa4e17ac547686d0348aa5b</t>
  </si>
  <si>
    <t>2026-06-25</t>
  </si>
  <si>
    <t>Krybit</t>
  </si>
  <si>
    <t>Dominican Republic</t>
  </si>
  <si>
    <t>Process Injection</t>
  </si>
  <si>
    <t>T1055</t>
  </si>
  <si>
    <t>db3088225c36be26ce2b458fa7a190176d071441e2e0830c0d82143e6323a3e1</t>
  </si>
  <si>
    <t>Anubis</t>
  </si>
  <si>
    <t>Disable or Modify Tools</t>
  </si>
  <si>
    <t>T1562</t>
  </si>
  <si>
    <t>193.233.132.76</t>
  </si>
  <si>
    <t>Interlock</t>
  </si>
  <si>
    <t>Canada</t>
  </si>
  <si>
    <t>Boot or Logon Autostart Execution</t>
  </si>
  <si>
    <t>T1547</t>
  </si>
  <si>
    <t>104.21.58.219</t>
  </si>
  <si>
    <t>fba4883bf4f73aa48a957d894051d78e0085ecc3170b1ff50e61ccec6aeee2cd</t>
  </si>
  <si>
    <t>Construction</t>
  </si>
  <si>
    <t>Impair Defenses</t>
  </si>
  <si>
    <t>144.172.103.42</t>
  </si>
  <si>
    <t>Insomnia</t>
  </si>
  <si>
    <t>OS Credential Dumping</t>
  </si>
  <si>
    <t>T1003</t>
  </si>
  <si>
    <t>87b4020bcd3fad1f5711e6801ca269ef5852256eeaf350f4dde2dc46c576262d</t>
  </si>
  <si>
    <t>Peru</t>
  </si>
  <si>
    <t>Education</t>
  </si>
  <si>
    <t>Automated Exfiltration</t>
  </si>
  <si>
    <t>T1020</t>
  </si>
  <si>
    <t>91.132.95.144</t>
  </si>
  <si>
    <t>90b1456cdbe6bc2779ea0b4736ed9a998a71ae37390331b6ba87e389a49d3d59</t>
  </si>
  <si>
    <t>Morpheus</t>
  </si>
  <si>
    <t>Qilin</t>
  </si>
  <si>
    <t>Greece</t>
  </si>
  <si>
    <t>185.180.143.91</t>
  </si>
  <si>
    <t>5df580447037ae1b35b6bbfbdcb4ecaa5bf61b365b2d7ffc1d198305c4ea095c</t>
  </si>
  <si>
    <t>Incransom</t>
  </si>
  <si>
    <t>T1685</t>
  </si>
  <si>
    <t>0296e2ce999e67c76352613a718e11516fe1b0efc3ffdb8918fc999dd76a73a5</t>
  </si>
  <si>
    <t>Agriculture and Food Production</t>
  </si>
  <si>
    <t>3298d203c2acb68c474e5fdad8379181890b4403d6491c523c13730129be3f75</t>
  </si>
  <si>
    <t>LSASS Memory</t>
  </si>
  <si>
    <t>725615d8628b0561e1b80bf1d3c01c0287a91a92e10c1c876e9864901cb11cfe</t>
  </si>
  <si>
    <t>Network Share Discovery</t>
  </si>
  <si>
    <t>T1135</t>
  </si>
  <si>
    <t xml:space="preserve">64.225.56.197 </t>
  </si>
  <si>
    <t>2026-06-24</t>
  </si>
  <si>
    <t>User Execution</t>
  </si>
  <si>
    <t>T1204</t>
  </si>
  <si>
    <t>5b8b939da12f36d76efc225a31583f0af7a91a92e10c1c876e9864901cb11cfe</t>
  </si>
  <si>
    <t>Shinyhunters</t>
  </si>
  <si>
    <t>Remote Desktop Protocol</t>
  </si>
  <si>
    <t>T0021</t>
  </si>
  <si>
    <t>42a08d1063980328bf1a1c5652c21a79e8b06d6abcac1881a0e8afa391b86c81</t>
  </si>
  <si>
    <t>Venezuela</t>
  </si>
  <si>
    <t>Data from Information Repositories</t>
  </si>
  <si>
    <t>T1213</t>
  </si>
  <si>
    <t>37.76.136.59</t>
  </si>
  <si>
    <t xml:space="preserve">9d5d80254ca4e07a60f8b88b8515c9c580ca83af6e017079d7bf3ab08294522c
</t>
  </si>
  <si>
    <t xml:space="preserve">Peru
</t>
  </si>
  <si>
    <t xml:space="preserve">Logistics
</t>
  </si>
  <si>
    <t>183.23.130.117</t>
  </si>
  <si>
    <t>eaedebdc23056fa4964a75d35bf20f9dd179a582</t>
  </si>
  <si>
    <t>175.165.84.46</t>
  </si>
  <si>
    <t>5be3191c927141df1de4bd8270bc39e7bd2cfd7a14c6b1ebc97b80c666222892</t>
  </si>
  <si>
    <t xml:space="preserve">Venezuela
</t>
  </si>
  <si>
    <t xml:space="preserve">Technology
</t>
  </si>
  <si>
    <t>7fd19c564761e2c8c9b583cf30db810e313417c7d3572f637f8cedf4d2cc1e91</t>
  </si>
  <si>
    <t xml:space="preserve">Portugal
</t>
  </si>
  <si>
    <t xml:space="preserve">Construction
</t>
  </si>
  <si>
    <t xml:space="preserve">110.38.209.65
</t>
  </si>
  <si>
    <t>f15d2347662d483ea9bcd8aa1a691d28</t>
  </si>
  <si>
    <t>Financial Services</t>
  </si>
  <si>
    <t>Compromised Credentials</t>
  </si>
  <si>
    <t>e0958dcfe58b34363b4490790c4e492683f7ed9d</t>
  </si>
  <si>
    <t xml:space="preserve">Argentina
</t>
  </si>
  <si>
    <t xml:space="preserve">115.49.7.221
</t>
  </si>
  <si>
    <t>d73bb7e1ccd8f55e885b7a6d0a885e4c08f7ac087c02ed67bd913761f3e1c9c7</t>
  </si>
  <si>
    <t>Stormous</t>
  </si>
  <si>
    <t xml:space="preserve">Singapore
</t>
  </si>
  <si>
    <t xml:space="preserve">Business Services
</t>
  </si>
  <si>
    <t>94.103.91.246</t>
  </si>
  <si>
    <t>95ae81de52655fac3f1b226f1896690566090640</t>
  </si>
  <si>
    <t xml:space="preserve">Italy
</t>
  </si>
  <si>
    <t xml:space="preserve">Manufacturing
</t>
  </si>
  <si>
    <t>82.147.84.98</t>
  </si>
  <si>
    <t>1b4b4e910bfd31f5f3f2f3a269bf2c994978b78a</t>
  </si>
  <si>
    <t>Valid Accounts</t>
  </si>
  <si>
    <t>T1078</t>
  </si>
  <si>
    <t>77.91.77.187</t>
  </si>
  <si>
    <t>8cee3ec87a5728be17f838f526d7ef3a842ce8956fe101ed247a5eb1494c579d</t>
  </si>
  <si>
    <t>Italy</t>
  </si>
  <si>
    <t>f001329114937fbc439f251c803ba825</t>
  </si>
  <si>
    <t xml:space="preserve">Retail
</t>
  </si>
  <si>
    <t>93.123.39.65</t>
  </si>
  <si>
    <t>8ad67a1b7a5f2428c93f7a13a398e39c</t>
  </si>
  <si>
    <t>Mexico</t>
  </si>
  <si>
    <t>Consumer Services</t>
  </si>
  <si>
    <t>7dbaf66d546198ab687209fbe7504faed0bb72a9ae620bdb0d238cfa4f63d5f3</t>
  </si>
  <si>
    <t xml:space="preserve">United States
</t>
  </si>
  <si>
    <t xml:space="preserve">7dbaf66d546198ab687209fbe7504faed0bb72a9ae620bdb0d238cfa4f63d5f3
</t>
  </si>
  <si>
    <t xml:space="preserve">236c5938f204e51b5d3485a2d9bfdb75c66f2a7a6da0a4d2b82c276e43569c66
</t>
  </si>
  <si>
    <t>2026-06-23</t>
  </si>
  <si>
    <t>Bravox</t>
  </si>
  <si>
    <t>Brazil</t>
  </si>
  <si>
    <t xml:space="preserve">Healthcare
</t>
  </si>
  <si>
    <t>South Korea</t>
  </si>
  <si>
    <t xml:space="preserve">Legal Services
</t>
  </si>
  <si>
    <t>Infostealer-Harvested Credentials</t>
  </si>
  <si>
    <t xml:space="preserve">85.209.87.207
</t>
  </si>
  <si>
    <t xml:space="preserve">96bb4ec6c820e485782bd206975a66a11f40dd7424abd9bace54760cbda0ae93
</t>
  </si>
  <si>
    <t>Lapsus$</t>
  </si>
  <si>
    <t>Myanmar</t>
  </si>
  <si>
    <t>Social Engineering</t>
  </si>
  <si>
    <t>167.99.233.78</t>
  </si>
  <si>
    <t>69aa0eeab454e6967e9c860d02749857b0b4c4ea8c55ba0c1a1af12af5a25bca</t>
  </si>
  <si>
    <t xml:space="preserve">Colombia
</t>
  </si>
  <si>
    <t xml:space="preserve">110.37.97.32
</t>
  </si>
  <si>
    <t xml:space="preserve">fc64bbc33e755451ba25d13209338bd628d68534d13cbf00992ae0f5fc97ca04
</t>
  </si>
  <si>
    <t>Apt73</t>
  </si>
  <si>
    <t>Austria</t>
  </si>
  <si>
    <t>176.97.75.205</t>
  </si>
  <si>
    <t>f1a00e2fe86455b9d1a384d5e96185e016816acd1d7ef3460e232e9ecb9da794</t>
  </si>
  <si>
    <t>Icarus</t>
  </si>
  <si>
    <t xml:space="preserve">France
</t>
  </si>
  <si>
    <t>RDP Brute Force</t>
  </si>
  <si>
    <t xml:space="preserve">138.226.246.94
</t>
  </si>
  <si>
    <t xml:space="preserve">Bermuda
</t>
  </si>
  <si>
    <t xml:space="preserve">94.154.32.160
</t>
  </si>
  <si>
    <t xml:space="preserve">0962291d6d367570bee5454721c17e11
</t>
  </si>
  <si>
    <t xml:space="preserve">199.59.243.228
</t>
  </si>
  <si>
    <t xml:space="preserve">ea671475338ad6fe402471d7d8d4ef1281f73757aa24a90655f4d914cbe849ac
</t>
  </si>
  <si>
    <t>Vulnerable Software Exploitation</t>
  </si>
  <si>
    <t xml:space="preserve"> T1190</t>
  </si>
  <si>
    <t xml:space="preserve">49ee3ad535947d8821ffdeb67ffc9bc37d1ebbb2
</t>
  </si>
  <si>
    <t>Credential Compromise</t>
  </si>
  <si>
    <t>Belgium</t>
  </si>
  <si>
    <t>59.96.137.219</t>
  </si>
  <si>
    <t>d8edd5305c58df8320a6b54d9c0d531d9a4e249a552e013d99ed04430911b6c4</t>
  </si>
  <si>
    <t>Engineering</t>
  </si>
  <si>
    <t>VPN/Edge Device Exploitation</t>
  </si>
  <si>
    <t>213.136.77.58</t>
  </si>
  <si>
    <t>78d75669390e4177597faf9271ce3ad3a16a3652e145913dbfa9a5951972fcb0</t>
  </si>
  <si>
    <t>103.140.62.43</t>
  </si>
  <si>
    <t>95477703e789e6182096a09bc98853e0a70b680a4f19fa2bf86cbb9280e8ec5a</t>
  </si>
  <si>
    <t>Aurora</t>
  </si>
  <si>
    <t>Energy &amp; Utilities</t>
  </si>
  <si>
    <t>212.87.204.93</t>
  </si>
  <si>
    <t>aa349ad45bb48e85b5cd1b55308ae835353859219f28ece9685c8ae552e8e63a</t>
  </si>
  <si>
    <t>2026-06-22</t>
  </si>
  <si>
    <t>fcefe50ed02c8d315272a94f860451bfd3d86fa6ffac215e69dfa26a7a5deced</t>
  </si>
  <si>
    <t>Safepay</t>
  </si>
  <si>
    <t>23.234.68.67</t>
  </si>
  <si>
    <t>b1ef7b267d887e34bf0242a94b38e7dc9fd5e6f8b2c5c440ce4ec98cc74642fb</t>
  </si>
  <si>
    <t>184.174.96.70</t>
  </si>
  <si>
    <t>BE0529FAA555736D BF72D88CB50CB318</t>
  </si>
  <si>
    <t>Supply Chain Compromise</t>
  </si>
  <si>
    <t>T1195</t>
  </si>
  <si>
    <t>6b0c78f990bb89a5c85456dab55966f178d309dae196077e1c562ce1f59ff72c</t>
  </si>
  <si>
    <t>152.199.24.163</t>
  </si>
  <si>
    <t>6224108cc3ca531c5ab214984b64a07566f31fed35b7ea78af79506fe24c70d9</t>
  </si>
  <si>
    <t>Switzerland</t>
  </si>
  <si>
    <t>212.86.125.24</t>
  </si>
  <si>
    <t>e839394551f4820a374b4f3a9110fa67a0e4c916cc3d8f88b096b591b5d54df7</t>
  </si>
  <si>
    <t>53.121.117.34</t>
  </si>
  <si>
    <t>720a78803b84cbcc8eb204d5cf8ea6ee2f693be0ab2124ddf2b81455de02a3ed</t>
  </si>
  <si>
    <t>213.111.148.90</t>
  </si>
  <si>
    <t>ac354a4723aaa4f06bec385ddde4a4d0983ad51456f52b31a8068ec97d5b5ea7</t>
  </si>
  <si>
    <t>45.63.58.34</t>
  </si>
  <si>
    <t>0426d8923790be4e5db65306134f53dd94f6c1c53d52a9198af9ad20c2ee02bd</t>
  </si>
  <si>
    <t>BrainCipher</t>
  </si>
  <si>
    <t>23.54.127.209</t>
  </si>
  <si>
    <t>41050b2b9f619cdd9916e3bdd5b9f2f9</t>
  </si>
  <si>
    <t>184.30.21.171</t>
  </si>
  <si>
    <t>f94d17b5f232e9cfd2255ca9823cb18a</t>
  </si>
  <si>
    <t>213.165.47.49</t>
  </si>
  <si>
    <t>8ed2c2e67ae8d3cfe1fca15d5c7b33e7011bb8dd</t>
  </si>
  <si>
    <t>b5104d6153ac9601ec4052ca6f8880ea</t>
  </si>
  <si>
    <t>185.106.93.135</t>
  </si>
  <si>
    <t>16b349b80ef9e6d6a86e768b4e01fc4c</t>
  </si>
  <si>
    <t>Netherlands</t>
  </si>
  <si>
    <t>185.106.93.245</t>
  </si>
  <si>
    <t>306fc85ff1c7e06f631c37d60d4ad98b</t>
  </si>
  <si>
    <t>195.123.218.52</t>
  </si>
  <si>
    <t>da1548613d5fa9520931952675f92ca9</t>
  </si>
  <si>
    <t>2026-06-21</t>
  </si>
  <si>
    <t>Thailand</t>
  </si>
  <si>
    <t>Hospitality</t>
  </si>
  <si>
    <t>180.131.145.73</t>
  </si>
  <si>
    <t>F51B82D0BA1B46CF 56C9BCC82127FB45</t>
  </si>
  <si>
    <t>188.190.2.165:666</t>
  </si>
  <si>
    <t>463554c76a0aa472daf9b42e9414942910b4ac54</t>
  </si>
  <si>
    <t>T1566.001</t>
  </si>
  <si>
    <t>68.65.122.246</t>
  </si>
  <si>
    <t>A51C8FCDE0BCC9FE8273F99C8B23E63CA4CD0F66B22CADD0BCB0F3ADB0FA05FA</t>
  </si>
  <si>
    <t>Exploit Public-Facing Application</t>
  </si>
  <si>
    <t>104.21.63.167</t>
  </si>
  <si>
    <t>A4E3F6633F3ECECD39F0BA8C9644962BB0DD677EE0ECF22A99986D5C80E34BD7</t>
  </si>
  <si>
    <t>Account Discovery: Domain Account</t>
  </si>
  <si>
    <t>T1087.002</t>
  </si>
  <si>
    <t>ef8bb466a368d5f564d05b54aea154b117847938c07627e85e3eb0e147296644</t>
  </si>
  <si>
    <t>87.106.121.77</t>
  </si>
  <si>
    <t>Vietnam</t>
  </si>
  <si>
    <t>Taiwan</t>
  </si>
  <si>
    <t>T1021.001</t>
  </si>
  <si>
    <t>e90bdaaf5f9ca900133b699f18e4062562148169b29cb4eb37a0577388c22527</t>
  </si>
  <si>
    <t>2026-06-20</t>
  </si>
  <si>
    <t>55e070a86b3ef2488d0e58f945f432aca494bfe65c9c4363d739649225efbbd1</t>
  </si>
  <si>
    <t>Command Execution</t>
  </si>
  <si>
    <t>141.147.89.33</t>
  </si>
  <si>
    <t>1ca67af90400ee6cbbd42175293274a0f5dc05315096cb2e214e4bfe12ffb71f</t>
  </si>
  <si>
    <t>Native API Execution</t>
  </si>
  <si>
    <t>T1106</t>
  </si>
  <si>
    <t>bed8d1752a12e5681412efbb8283910857f7c5c431c2d73f9bbc5b379047a316</t>
  </si>
  <si>
    <t>Windows Service Abuse</t>
  </si>
  <si>
    <t>T1543.003</t>
  </si>
  <si>
    <t>185.196.8.7</t>
  </si>
  <si>
    <t>Saudi Arabia</t>
  </si>
  <si>
    <t>Worldleaks</t>
  </si>
  <si>
    <t>Compromised VPN Credentials</t>
  </si>
  <si>
    <t>193.161.193.99</t>
  </si>
  <si>
    <t>94f73b5dc06ba6705fcef3e759413a747049c2949a0c2e44afc03b2f9989cf73</t>
  </si>
  <si>
    <t>51.15.109.222</t>
  </si>
  <si>
    <t>c3804d1329b55a37bfa2f835e1e9bbc7bdb2b260f8e3627c06e02c9f52685d44</t>
  </si>
  <si>
    <t>Denmark</t>
  </si>
  <si>
    <t>Dragonforce</t>
  </si>
  <si>
    <t>Russia</t>
  </si>
  <si>
    <t>185.73.125.8</t>
  </si>
  <si>
    <t>0023baf38263857e32b8cdbeb25ac2e95ae25ccf082d193f187ef8fc192f930b</t>
  </si>
  <si>
    <t>94.232.46.20</t>
  </si>
  <si>
    <t>188bc243cc42f8ffa4c1ed02aad5a76c9000e3d58104f45fe71af66536a274da</t>
  </si>
  <si>
    <t>Remote Services</t>
  </si>
  <si>
    <t>cf1ebd6fb534d65dd0e8164db9693988d5a4a645dd044beba578ab25c0033e66</t>
  </si>
  <si>
    <t>66.96.141.50</t>
  </si>
  <si>
    <t>96ba3ba94db07e895090cdaca701a922523649cf6d6801b358c5ff62416be9fa</t>
  </si>
  <si>
    <t>T1562.001</t>
  </si>
  <si>
    <t>129.204.27.39</t>
  </si>
  <si>
    <t>Ransomexx</t>
  </si>
  <si>
    <t>Hospitality and Tourism</t>
  </si>
  <si>
    <t>216.245.197.46</t>
  </si>
  <si>
    <t>4cae449450c07b7aa74314173c7b00d409eabfe22b86859f3b3acedd66010458</t>
  </si>
  <si>
    <t>Ransomware Monitoring Dataset - Summary</t>
  </si>
  <si>
    <t>Total Records</t>
  </si>
  <si>
    <t>Top Ransomware Groups</t>
  </si>
  <si>
    <t>Count</t>
  </si>
  <si>
    <t>Top Countries</t>
  </si>
  <si>
    <t>Unique Ransomware Groups</t>
  </si>
  <si>
    <t>Unique Countries</t>
  </si>
  <si>
    <t>Unknown Country Count</t>
  </si>
  <si>
    <t>Unknown Sector Count</t>
  </si>
  <si>
    <t>Average Severity</t>
  </si>
  <si>
    <t>Top Target Sectors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</si>
</sst>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rgb="FF000000"/>
      <name val="Carlito"/>
      <scheme val="minor"/>
    </font>
    <font>
      <b/>
      <sz val="11.0"/>
      <color rgb="FFFFFFFF"/>
      <name val="Carlito"/>
    </font>
    <font>
      <sz val="11.0"/>
      <color theme="1"/>
      <name val="Carlito"/>
    </font>
    <font>
      <color theme="1"/>
      <name val="Carlito"/>
    </font>
    <font>
      <sz val="9.0"/>
      <color rgb="FF000000"/>
      <name val="&quot;JetBrains Mono&quot;"/>
    </font>
    <font>
      <color theme="1"/>
      <name val="Carlito"/>
      <scheme val="minor"/>
    </font>
    <font>
      <sz val="11.0"/>
      <color rgb="FF000000"/>
      <name val="&quot;Aptos Narrow&quot;"/>
    </font>
    <font>
      <sz val="11.0"/>
      <color rgb="FF000000"/>
      <name val="Arial"/>
    </font>
    <font>
      <sz val="11.0"/>
      <color rgb="FF000000"/>
      <name val="Carlito"/>
    </font>
    <font>
      <b/>
      <sz val="14.0"/>
      <color rgb="FFFFFFFF"/>
      <name val="Carlito"/>
    </font>
    <font>
      <b/>
      <sz val="11.0"/>
      <color theme="1"/>
      <name val="Carlito"/>
    </font>
  </fonts>
  <fills count="5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C0E6F5"/>
        <bgColor rgb="FFC0E6F5"/>
      </patternFill>
    </fill>
    <fill>
      <patternFill patternType="solid">
        <fgColor rgb="FFD9EAF7"/>
        <bgColor rgb="FFD9EAF7"/>
      </patternFill>
    </fill>
  </fills>
  <borders count="4">
    <border/>
    <border>
      <left style="thin">
        <color rgb="FF44B3E1"/>
      </left>
      <top style="thin">
        <color rgb="FF44B3E1"/>
      </top>
      <bottom style="thin">
        <color rgb="FF44B3E1"/>
      </bottom>
    </border>
    <border>
      <top style="thin">
        <color rgb="FF44B3E1"/>
      </top>
      <bottom style="thin">
        <color rgb="FF44B3E1"/>
      </bottom>
    </border>
    <border>
      <right style="thin">
        <color rgb="FF44B3E1"/>
      </right>
      <top style="thin">
        <color rgb="FF44B3E1"/>
      </top>
      <bottom style="thin">
        <color rgb="FF44B3E1"/>
      </bottom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0" fillId="0" fontId="2" numFmtId="49" xfId="0" applyFont="1" applyNumberFormat="1"/>
    <xf borderId="0" fillId="0" fontId="3" numFmtId="0" xfId="0" applyFont="1"/>
    <xf borderId="0" fillId="0" fontId="2" numFmtId="0" xfId="0" applyAlignment="1" applyFont="1">
      <alignment shrinkToFit="0" wrapText="1"/>
    </xf>
    <xf borderId="0" fillId="0" fontId="2" numFmtId="0" xfId="0" applyAlignment="1" applyFont="1">
      <alignment readingOrder="0" shrinkToFit="0" wrapText="1"/>
    </xf>
    <xf borderId="0" fillId="0" fontId="2" numFmtId="1" xfId="0" applyAlignment="1" applyFont="1" applyNumberFormat="1">
      <alignment readingOrder="0"/>
    </xf>
    <xf borderId="0" fillId="0" fontId="3" numFmtId="3" xfId="0" applyAlignment="1" applyFont="1" applyNumberFormat="1">
      <alignment horizontal="center" readingOrder="0"/>
    </xf>
    <xf borderId="0" fillId="0" fontId="4" numFmtId="0" xfId="0" applyAlignment="1" applyFont="1">
      <alignment horizontal="center" readingOrder="0"/>
    </xf>
    <xf borderId="0" fillId="0" fontId="4" numFmtId="0" xfId="0" applyAlignment="1" applyFont="1">
      <alignment readingOrder="0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horizontal="center"/>
    </xf>
    <xf borderId="0" fillId="0" fontId="5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6" numFmtId="0" xfId="0" applyAlignment="1" applyFont="1">
      <alignment horizontal="left" readingOrder="0"/>
    </xf>
    <xf borderId="0" fillId="0" fontId="7" numFmtId="0" xfId="0" applyAlignment="1" applyFont="1">
      <alignment horizontal="center" readingOrder="0"/>
    </xf>
    <xf borderId="0" fillId="0" fontId="6" numFmtId="0" xfId="0" applyAlignment="1" applyFont="1">
      <alignment horizontal="center" readingOrder="0"/>
    </xf>
    <xf borderId="0" fillId="0" fontId="6" numFmtId="3" xfId="0" applyAlignment="1" applyFont="1" applyNumberFormat="1">
      <alignment horizontal="center" readingOrder="0"/>
    </xf>
    <xf borderId="0" fillId="0" fontId="7" numFmtId="3" xfId="0" applyAlignment="1" applyFont="1" applyNumberFormat="1">
      <alignment horizontal="center" readingOrder="0"/>
    </xf>
    <xf borderId="0" fillId="0" fontId="7" numFmtId="3" xfId="0" applyAlignment="1" applyFont="1" applyNumberFormat="1">
      <alignment horizontal="left" readingOrder="0"/>
    </xf>
    <xf borderId="0" fillId="0" fontId="6" numFmtId="0" xfId="0" applyAlignment="1" applyFont="1">
      <alignment readingOrder="0" shrinkToFit="0" vertical="bottom" wrapText="0"/>
    </xf>
    <xf borderId="0" fillId="0" fontId="7" numFmtId="0" xfId="0" applyAlignment="1" applyFont="1">
      <alignment horizontal="left" readingOrder="0"/>
    </xf>
    <xf borderId="0" fillId="0" fontId="7" numFmtId="0" xfId="0" applyAlignment="1" applyFont="1">
      <alignment readingOrder="0" shrinkToFit="0" vertical="bottom" wrapText="0"/>
    </xf>
    <xf borderId="1" fillId="3" fontId="8" numFmtId="49" xfId="0" applyAlignment="1" applyBorder="1" applyFill="1" applyFont="1" applyNumberFormat="1">
      <alignment readingOrder="0" shrinkToFit="0" vertical="bottom" wrapText="0"/>
    </xf>
    <xf borderId="2" fillId="3" fontId="8" numFmtId="0" xfId="0" applyAlignment="1" applyBorder="1" applyFont="1">
      <alignment readingOrder="0" shrinkToFit="0" vertical="bottom" wrapText="0"/>
    </xf>
    <xf borderId="2" fillId="3" fontId="8" numFmtId="0" xfId="0" applyAlignment="1" applyBorder="1" applyFont="1">
      <alignment readingOrder="0" vertical="bottom"/>
    </xf>
    <xf borderId="2" fillId="3" fontId="8" numFmtId="1" xfId="0" applyAlignment="1" applyBorder="1" applyFont="1" applyNumberFormat="1">
      <alignment horizontal="right" readingOrder="0" shrinkToFit="0" vertical="bottom" wrapText="0"/>
    </xf>
    <xf borderId="2" fillId="3" fontId="8" numFmtId="0" xfId="0" applyAlignment="1" applyBorder="1" applyFont="1">
      <alignment horizontal="center" readingOrder="0" shrinkToFit="0" vertical="bottom" wrapText="0"/>
    </xf>
    <xf borderId="3" fillId="3" fontId="8" numFmtId="0" xfId="0" applyAlignment="1" applyBorder="1" applyFont="1">
      <alignment readingOrder="0" vertical="bottom"/>
    </xf>
    <xf borderId="1" fillId="0" fontId="8" numFmtId="49" xfId="0" applyAlignment="1" applyBorder="1" applyFont="1" applyNumberFormat="1">
      <alignment readingOrder="0" shrinkToFit="0" vertical="bottom" wrapText="0"/>
    </xf>
    <xf borderId="2" fillId="0" fontId="8" numFmtId="0" xfId="0" applyAlignment="1" applyBorder="1" applyFont="1">
      <alignment readingOrder="0" shrinkToFit="0" vertical="bottom" wrapText="0"/>
    </xf>
    <xf borderId="2" fillId="0" fontId="8" numFmtId="0" xfId="0" applyAlignment="1" applyBorder="1" applyFont="1">
      <alignment readingOrder="0" vertical="bottom"/>
    </xf>
    <xf borderId="2" fillId="0" fontId="8" numFmtId="1" xfId="0" applyAlignment="1" applyBorder="1" applyFont="1" applyNumberFormat="1">
      <alignment horizontal="right" readingOrder="0" shrinkToFit="0" vertical="bottom" wrapText="0"/>
    </xf>
    <xf borderId="2" fillId="0" fontId="8" numFmtId="0" xfId="0" applyAlignment="1" applyBorder="1" applyFont="1">
      <alignment horizontal="center" readingOrder="0" shrinkToFit="0" vertical="bottom" wrapText="0"/>
    </xf>
    <xf borderId="3" fillId="0" fontId="8" numFmtId="0" xfId="0" applyAlignment="1" applyBorder="1" applyFont="1">
      <alignment readingOrder="0" shrinkToFit="0" vertical="bottom" wrapText="0"/>
    </xf>
    <xf borderId="3" fillId="3" fontId="8" numFmtId="0" xfId="0" applyAlignment="1" applyBorder="1" applyFont="1">
      <alignment readingOrder="0" shrinkToFit="0" vertical="bottom" wrapText="0"/>
    </xf>
    <xf borderId="3" fillId="0" fontId="8" numFmtId="0" xfId="0" applyAlignment="1" applyBorder="1" applyFont="1">
      <alignment readingOrder="0" vertical="bottom"/>
    </xf>
    <xf borderId="2" fillId="3" fontId="8" numFmtId="3" xfId="0" applyAlignment="1" applyBorder="1" applyFont="1" applyNumberFormat="1">
      <alignment horizontal="center" readingOrder="0" shrinkToFit="0" vertical="bottom" wrapText="0"/>
    </xf>
    <xf borderId="2" fillId="0" fontId="8" numFmtId="3" xfId="0" applyAlignment="1" applyBorder="1" applyFont="1" applyNumberFormat="1">
      <alignment horizontal="center" readingOrder="0" shrinkToFit="0" vertical="bottom" wrapText="0"/>
    </xf>
    <xf borderId="2" fillId="0" fontId="8" numFmtId="3" xfId="0" applyAlignment="1" applyBorder="1" applyFont="1" applyNumberFormat="1">
      <alignment horizontal="center" readingOrder="0" shrinkToFit="0" vertical="top" wrapText="0"/>
    </xf>
    <xf borderId="2" fillId="0" fontId="8" numFmtId="0" xfId="0" applyAlignment="1" applyBorder="1" applyFont="1">
      <alignment shrinkToFit="0" vertical="bottom" wrapText="0"/>
    </xf>
    <xf borderId="3" fillId="0" fontId="8" numFmtId="0" xfId="0" applyAlignment="1" applyBorder="1" applyFont="1">
      <alignment readingOrder="0" shrinkToFit="0" vertical="bottom" wrapText="0"/>
    </xf>
    <xf borderId="0" fillId="0" fontId="2" numFmtId="1" xfId="0" applyFont="1" applyNumberFormat="1"/>
    <xf borderId="0" fillId="0" fontId="3" numFmtId="3" xfId="0" applyAlignment="1" applyFont="1" applyNumberFormat="1">
      <alignment horizontal="center"/>
    </xf>
    <xf borderId="0" fillId="0" fontId="3" numFmtId="0" xfId="0" applyAlignment="1" applyFont="1">
      <alignment horizontal="center"/>
    </xf>
    <xf borderId="0" fillId="2" fontId="9" numFmtId="0" xfId="0" applyAlignment="1" applyFont="1">
      <alignment horizontal="center"/>
    </xf>
    <xf borderId="0" fillId="4" fontId="10" numFmtId="0" xfId="0" applyFill="1" applyFont="1"/>
    <xf borderId="0" fillId="0" fontId="3" numFmtId="0" xfId="0" applyFont="1"/>
    <xf borderId="0" fillId="2" fontId="1" numFmtId="0" xfId="0" applyAlignment="1" applyFont="1">
      <alignment horizont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3" pivot="0" name="Dataset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I101" displayName="Table_1" name="Table_1" id="1">
  <tableColumns count="9">
    <tableColumn name="date" id="1"/>
    <tableColumn name="ransomware_group" id="2"/>
    <tableColumn name="country" id="3"/>
    <tableColumn name="target_sector" id="4"/>
    <tableColumn name="attack_vector" id="5"/>
    <tableColumn name="technique" id="6"/>
    <tableColumn name="severity" id="7"/>
    <tableColumn name="ioc_ip" id="8"/>
    <tableColumn name="ioc_hash" id="9"/>
  </tableColumns>
  <tableStyleInfo name="Datase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0"/>
    <col customWidth="1" min="2" max="2" width="20.0"/>
    <col customWidth="1" min="3" max="3" width="22.0"/>
    <col customWidth="1" min="4" max="4" width="30.0"/>
    <col customWidth="1" min="5" max="5" width="34.0"/>
    <col customWidth="1" min="6" max="6" width="28.0"/>
    <col customWidth="1" min="7" max="7" width="10.0"/>
    <col customWidth="1" min="8" max="8" width="31.38"/>
    <col customWidth="1" min="9" max="9" width="72.0"/>
  </cols>
  <sheetData>
    <row r="1" ht="21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3" t="s">
        <v>10</v>
      </c>
      <c r="C2" s="3" t="s">
        <v>11</v>
      </c>
      <c r="D2" s="4" t="s">
        <v>12</v>
      </c>
      <c r="E2" s="5" t="s">
        <v>13</v>
      </c>
      <c r="F2" s="5" t="s">
        <v>14</v>
      </c>
      <c r="G2" s="6">
        <v>8.0</v>
      </c>
      <c r="H2" s="7">
        <v>1.62248225165E11</v>
      </c>
      <c r="I2" s="5" t="s">
        <v>15</v>
      </c>
    </row>
    <row r="3">
      <c r="A3" s="2" t="s">
        <v>9</v>
      </c>
      <c r="B3" s="3" t="s">
        <v>16</v>
      </c>
      <c r="C3" s="3" t="s">
        <v>17</v>
      </c>
      <c r="D3" s="4" t="s">
        <v>18</v>
      </c>
      <c r="E3" s="5" t="s">
        <v>19</v>
      </c>
      <c r="F3" s="5" t="s">
        <v>20</v>
      </c>
      <c r="G3" s="6">
        <v>9.0</v>
      </c>
      <c r="H3" s="8" t="s">
        <v>21</v>
      </c>
      <c r="I3" s="9" t="s">
        <v>22</v>
      </c>
    </row>
    <row r="4">
      <c r="A4" s="2" t="s">
        <v>9</v>
      </c>
      <c r="B4" s="3" t="s">
        <v>23</v>
      </c>
      <c r="C4" s="3" t="s">
        <v>24</v>
      </c>
      <c r="D4" s="4" t="s">
        <v>25</v>
      </c>
      <c r="E4" s="5" t="s">
        <v>19</v>
      </c>
      <c r="F4" s="5" t="s">
        <v>20</v>
      </c>
      <c r="G4" s="6">
        <v>9.0</v>
      </c>
      <c r="H4" s="10" t="s">
        <v>26</v>
      </c>
      <c r="I4" s="5" t="s">
        <v>27</v>
      </c>
    </row>
    <row r="5">
      <c r="A5" s="2" t="s">
        <v>9</v>
      </c>
      <c r="B5" s="3" t="s">
        <v>23</v>
      </c>
      <c r="C5" s="3" t="s">
        <v>28</v>
      </c>
      <c r="D5" s="4" t="s">
        <v>29</v>
      </c>
      <c r="E5" s="5" t="s">
        <v>30</v>
      </c>
      <c r="F5" s="5" t="s">
        <v>31</v>
      </c>
      <c r="G5" s="6">
        <v>7.0</v>
      </c>
      <c r="H5" s="7">
        <v>9.3233112229E10</v>
      </c>
      <c r="I5" s="5" t="s">
        <v>32</v>
      </c>
    </row>
    <row r="6">
      <c r="A6" s="2" t="s">
        <v>9</v>
      </c>
      <c r="B6" s="3" t="s">
        <v>16</v>
      </c>
      <c r="C6" s="3" t="s">
        <v>17</v>
      </c>
      <c r="D6" s="4" t="s">
        <v>18</v>
      </c>
      <c r="E6" s="5" t="s">
        <v>33</v>
      </c>
      <c r="F6" s="5" t="s">
        <v>34</v>
      </c>
      <c r="G6" s="6">
        <v>8.0</v>
      </c>
      <c r="H6" s="10" t="s">
        <v>35</v>
      </c>
      <c r="I6" s="5" t="s">
        <v>36</v>
      </c>
    </row>
    <row r="7">
      <c r="A7" s="2" t="s">
        <v>9</v>
      </c>
      <c r="B7" s="3" t="s">
        <v>23</v>
      </c>
      <c r="C7" s="3" t="s">
        <v>28</v>
      </c>
      <c r="D7" s="4" t="s">
        <v>12</v>
      </c>
      <c r="E7" s="5" t="s">
        <v>37</v>
      </c>
      <c r="F7" s="5" t="s">
        <v>38</v>
      </c>
      <c r="G7" s="6">
        <v>6.0</v>
      </c>
      <c r="H7" s="10" t="s">
        <v>26</v>
      </c>
      <c r="I7" s="5" t="s">
        <v>39</v>
      </c>
    </row>
    <row r="8">
      <c r="A8" s="2" t="s">
        <v>9</v>
      </c>
      <c r="B8" s="3" t="s">
        <v>40</v>
      </c>
      <c r="C8" s="3" t="s">
        <v>41</v>
      </c>
      <c r="D8" s="4" t="s">
        <v>12</v>
      </c>
      <c r="E8" s="5" t="s">
        <v>42</v>
      </c>
      <c r="F8" s="5" t="s">
        <v>43</v>
      </c>
      <c r="G8" s="6">
        <v>8.0</v>
      </c>
      <c r="H8" s="10" t="s">
        <v>44</v>
      </c>
      <c r="I8" s="5" t="s">
        <v>45</v>
      </c>
    </row>
    <row r="9">
      <c r="A9" s="2" t="s">
        <v>9</v>
      </c>
      <c r="B9" s="3" t="s">
        <v>46</v>
      </c>
      <c r="C9" s="3" t="s">
        <v>47</v>
      </c>
      <c r="D9" s="4" t="s">
        <v>28</v>
      </c>
      <c r="E9" s="5" t="s">
        <v>48</v>
      </c>
      <c r="F9" s="5" t="s">
        <v>49</v>
      </c>
      <c r="G9" s="6">
        <v>8.0</v>
      </c>
      <c r="H9" s="11"/>
      <c r="I9" s="5" t="s">
        <v>50</v>
      </c>
    </row>
    <row r="10">
      <c r="A10" s="2" t="s">
        <v>9</v>
      </c>
      <c r="B10" s="3" t="s">
        <v>16</v>
      </c>
      <c r="C10" s="3" t="s">
        <v>51</v>
      </c>
      <c r="D10" s="4" t="s">
        <v>52</v>
      </c>
      <c r="E10" s="5" t="s">
        <v>53</v>
      </c>
      <c r="F10" s="5" t="s">
        <v>38</v>
      </c>
      <c r="G10" s="6">
        <v>7.0</v>
      </c>
      <c r="H10" s="10" t="s">
        <v>54</v>
      </c>
      <c r="I10" s="5" t="s">
        <v>55</v>
      </c>
    </row>
    <row r="11">
      <c r="A11" s="2" t="s">
        <v>9</v>
      </c>
      <c r="B11" s="3" t="s">
        <v>56</v>
      </c>
      <c r="C11" s="3" t="s">
        <v>57</v>
      </c>
      <c r="D11" s="4" t="s">
        <v>58</v>
      </c>
      <c r="E11" s="5" t="s">
        <v>59</v>
      </c>
      <c r="F11" s="5" t="s">
        <v>60</v>
      </c>
      <c r="G11" s="6">
        <v>8.0</v>
      </c>
      <c r="H11" s="10" t="s">
        <v>61</v>
      </c>
      <c r="I11" s="5" t="s">
        <v>62</v>
      </c>
    </row>
    <row r="12">
      <c r="A12" s="2" t="s">
        <v>9</v>
      </c>
      <c r="B12" s="3" t="s">
        <v>63</v>
      </c>
      <c r="C12" s="3" t="s">
        <v>28</v>
      </c>
      <c r="D12" s="4" t="s">
        <v>12</v>
      </c>
      <c r="E12" s="5" t="s">
        <v>64</v>
      </c>
      <c r="F12" s="12" t="s">
        <v>65</v>
      </c>
      <c r="G12" s="6">
        <v>9.0</v>
      </c>
      <c r="H12" s="10" t="s">
        <v>66</v>
      </c>
      <c r="I12" s="12" t="s">
        <v>67</v>
      </c>
    </row>
    <row r="13">
      <c r="A13" s="2" t="s">
        <v>68</v>
      </c>
      <c r="B13" s="3" t="s">
        <v>69</v>
      </c>
      <c r="C13" s="3" t="s">
        <v>70</v>
      </c>
      <c r="D13" s="4" t="s">
        <v>18</v>
      </c>
      <c r="E13" s="5" t="s">
        <v>71</v>
      </c>
      <c r="F13" s="5" t="s">
        <v>72</v>
      </c>
      <c r="G13" s="6">
        <v>8.0</v>
      </c>
      <c r="H13" s="7">
        <v>1.03177110202E11</v>
      </c>
      <c r="I13" s="5" t="s">
        <v>73</v>
      </c>
    </row>
    <row r="14">
      <c r="A14" s="2" t="s">
        <v>68</v>
      </c>
      <c r="B14" s="3" t="s">
        <v>74</v>
      </c>
      <c r="C14" s="3" t="s">
        <v>41</v>
      </c>
      <c r="D14" s="4" t="s">
        <v>28</v>
      </c>
      <c r="E14" s="5" t="s">
        <v>75</v>
      </c>
      <c r="F14" s="5" t="s">
        <v>76</v>
      </c>
      <c r="G14" s="6">
        <v>8.0</v>
      </c>
      <c r="H14" s="10" t="s">
        <v>77</v>
      </c>
      <c r="I14" s="5" t="s">
        <v>45</v>
      </c>
    </row>
    <row r="15">
      <c r="A15" s="2" t="s">
        <v>68</v>
      </c>
      <c r="B15" s="3" t="s">
        <v>78</v>
      </c>
      <c r="C15" s="3" t="s">
        <v>79</v>
      </c>
      <c r="D15" s="4" t="s">
        <v>25</v>
      </c>
      <c r="E15" s="5" t="s">
        <v>80</v>
      </c>
      <c r="F15" s="5" t="s">
        <v>81</v>
      </c>
      <c r="G15" s="6">
        <v>8.0</v>
      </c>
      <c r="H15" s="10" t="s">
        <v>82</v>
      </c>
      <c r="I15" s="5" t="s">
        <v>83</v>
      </c>
    </row>
    <row r="16">
      <c r="A16" s="2" t="s">
        <v>68</v>
      </c>
      <c r="B16" s="3" t="s">
        <v>40</v>
      </c>
      <c r="C16" s="3" t="s">
        <v>11</v>
      </c>
      <c r="D16" s="4" t="s">
        <v>84</v>
      </c>
      <c r="E16" s="5" t="s">
        <v>85</v>
      </c>
      <c r="F16" s="5" t="s">
        <v>76</v>
      </c>
      <c r="G16" s="6">
        <v>8.0</v>
      </c>
      <c r="H16" s="10" t="s">
        <v>86</v>
      </c>
      <c r="I16" s="5" t="s">
        <v>67</v>
      </c>
    </row>
    <row r="17">
      <c r="A17" s="2" t="s">
        <v>68</v>
      </c>
      <c r="B17" s="3" t="s">
        <v>87</v>
      </c>
      <c r="C17" s="3" t="s">
        <v>11</v>
      </c>
      <c r="D17" s="4" t="s">
        <v>28</v>
      </c>
      <c r="E17" s="5" t="s">
        <v>88</v>
      </c>
      <c r="F17" s="5" t="s">
        <v>89</v>
      </c>
      <c r="G17" s="6">
        <v>9.0</v>
      </c>
      <c r="H17" s="7">
        <v>1.95211190189E11</v>
      </c>
      <c r="I17" s="5" t="s">
        <v>90</v>
      </c>
    </row>
    <row r="18">
      <c r="A18" s="2" t="s">
        <v>68</v>
      </c>
      <c r="B18" s="3" t="s">
        <v>69</v>
      </c>
      <c r="C18" s="3" t="s">
        <v>91</v>
      </c>
      <c r="D18" s="4" t="s">
        <v>92</v>
      </c>
      <c r="E18" s="5" t="s">
        <v>93</v>
      </c>
      <c r="F18" s="5" t="s">
        <v>94</v>
      </c>
      <c r="G18" s="6">
        <v>8.0</v>
      </c>
      <c r="H18" s="10" t="s">
        <v>95</v>
      </c>
      <c r="I18" s="5" t="s">
        <v>96</v>
      </c>
    </row>
    <row r="19">
      <c r="A19" s="2" t="s">
        <v>68</v>
      </c>
      <c r="B19" s="3" t="s">
        <v>97</v>
      </c>
      <c r="C19" s="3" t="s">
        <v>28</v>
      </c>
      <c r="D19" s="4" t="s">
        <v>12</v>
      </c>
      <c r="E19" s="5" t="s">
        <v>80</v>
      </c>
      <c r="F19" s="5" t="s">
        <v>81</v>
      </c>
      <c r="G19" s="6">
        <v>7.0</v>
      </c>
      <c r="H19" s="10" t="s">
        <v>82</v>
      </c>
      <c r="I19" s="5" t="s">
        <v>83</v>
      </c>
    </row>
    <row r="20">
      <c r="A20" s="2" t="s">
        <v>68</v>
      </c>
      <c r="B20" s="3" t="s">
        <v>98</v>
      </c>
      <c r="C20" s="3" t="s">
        <v>99</v>
      </c>
      <c r="D20" s="4" t="s">
        <v>12</v>
      </c>
      <c r="E20" s="5" t="s">
        <v>93</v>
      </c>
      <c r="F20" s="5" t="s">
        <v>94</v>
      </c>
      <c r="G20" s="6">
        <v>8.0</v>
      </c>
      <c r="H20" s="10" t="s">
        <v>100</v>
      </c>
      <c r="I20" s="5" t="s">
        <v>101</v>
      </c>
    </row>
    <row r="21" ht="15.75" customHeight="1">
      <c r="A21" s="2" t="s">
        <v>68</v>
      </c>
      <c r="B21" s="3" t="s">
        <v>102</v>
      </c>
      <c r="C21" s="3" t="s">
        <v>11</v>
      </c>
      <c r="D21" s="4" t="s">
        <v>25</v>
      </c>
      <c r="E21" s="5" t="s">
        <v>85</v>
      </c>
      <c r="F21" s="5" t="s">
        <v>103</v>
      </c>
      <c r="G21" s="6">
        <v>9.0</v>
      </c>
      <c r="H21" s="7">
        <v>9.4131107144E10</v>
      </c>
      <c r="I21" s="5" t="s">
        <v>104</v>
      </c>
    </row>
    <row r="22" ht="15.75" customHeight="1">
      <c r="A22" s="2" t="s">
        <v>68</v>
      </c>
      <c r="B22" s="3" t="s">
        <v>102</v>
      </c>
      <c r="C22" s="3" t="s">
        <v>57</v>
      </c>
      <c r="D22" s="4" t="s">
        <v>105</v>
      </c>
      <c r="E22" s="5" t="s">
        <v>19</v>
      </c>
      <c r="F22" s="13" t="s">
        <v>20</v>
      </c>
      <c r="G22" s="6">
        <v>9.0</v>
      </c>
      <c r="H22" s="10" t="s">
        <v>100</v>
      </c>
      <c r="I22" s="5" t="s">
        <v>106</v>
      </c>
    </row>
    <row r="23" ht="15.75" customHeight="1">
      <c r="A23" s="2" t="s">
        <v>68</v>
      </c>
      <c r="B23" s="3" t="s">
        <v>63</v>
      </c>
      <c r="C23" s="3" t="s">
        <v>28</v>
      </c>
      <c r="D23" s="4" t="s">
        <v>12</v>
      </c>
      <c r="E23" s="5" t="s">
        <v>107</v>
      </c>
      <c r="F23" s="5" t="s">
        <v>89</v>
      </c>
      <c r="G23" s="6">
        <v>9.0</v>
      </c>
      <c r="H23" s="7">
        <v>2.3106215182E10</v>
      </c>
      <c r="I23" s="5" t="s">
        <v>108</v>
      </c>
    </row>
    <row r="24" ht="15.75" customHeight="1">
      <c r="A24" s="2" t="s">
        <v>68</v>
      </c>
      <c r="B24" s="3" t="s">
        <v>63</v>
      </c>
      <c r="C24" s="3" t="s">
        <v>28</v>
      </c>
      <c r="D24" s="4" t="s">
        <v>29</v>
      </c>
      <c r="E24" s="5" t="s">
        <v>109</v>
      </c>
      <c r="F24" s="5" t="s">
        <v>110</v>
      </c>
      <c r="G24" s="6">
        <v>6.0</v>
      </c>
      <c r="H24" s="10" t="s">
        <v>111</v>
      </c>
      <c r="I24" s="5" t="s">
        <v>101</v>
      </c>
    </row>
    <row r="25" ht="15.75" customHeight="1">
      <c r="A25" s="2" t="s">
        <v>112</v>
      </c>
      <c r="B25" s="3" t="s">
        <v>74</v>
      </c>
      <c r="C25" s="3" t="s">
        <v>28</v>
      </c>
      <c r="D25" s="4" t="s">
        <v>25</v>
      </c>
      <c r="E25" s="5" t="s">
        <v>113</v>
      </c>
      <c r="F25" s="5" t="s">
        <v>114</v>
      </c>
      <c r="G25" s="6">
        <v>7.0</v>
      </c>
      <c r="H25" s="7">
        <v>1.85213155242E11</v>
      </c>
      <c r="I25" s="5" t="s">
        <v>115</v>
      </c>
    </row>
    <row r="26" ht="15.75" customHeight="1">
      <c r="A26" s="2" t="s">
        <v>112</v>
      </c>
      <c r="B26" s="3" t="s">
        <v>116</v>
      </c>
      <c r="C26" s="14" t="s">
        <v>11</v>
      </c>
      <c r="D26" s="5" t="s">
        <v>18</v>
      </c>
      <c r="E26" s="12" t="s">
        <v>117</v>
      </c>
      <c r="F26" s="12" t="s">
        <v>118</v>
      </c>
      <c r="G26" s="6">
        <v>8.0</v>
      </c>
      <c r="H26" s="7">
        <v>6.7205154243E10</v>
      </c>
      <c r="I26" s="15" t="s">
        <v>119</v>
      </c>
    </row>
    <row r="27" ht="15.75" customHeight="1">
      <c r="A27" s="2" t="s">
        <v>112</v>
      </c>
      <c r="B27" s="3" t="s">
        <v>16</v>
      </c>
      <c r="C27" s="14" t="s">
        <v>120</v>
      </c>
      <c r="D27" s="5" t="s">
        <v>29</v>
      </c>
      <c r="E27" s="12" t="s">
        <v>121</v>
      </c>
      <c r="F27" s="5" t="s">
        <v>122</v>
      </c>
      <c r="G27" s="6">
        <v>7.0</v>
      </c>
      <c r="H27" s="16" t="s">
        <v>123</v>
      </c>
      <c r="I27" s="5" t="s">
        <v>124</v>
      </c>
    </row>
    <row r="28" ht="15.75" customHeight="1">
      <c r="A28" s="2" t="s">
        <v>112</v>
      </c>
      <c r="B28" s="3" t="s">
        <v>16</v>
      </c>
      <c r="C28" s="14" t="s">
        <v>125</v>
      </c>
      <c r="D28" s="5" t="s">
        <v>126</v>
      </c>
      <c r="E28" s="12" t="s">
        <v>117</v>
      </c>
      <c r="F28" s="12" t="s">
        <v>118</v>
      </c>
      <c r="G28" s="6">
        <v>8.0</v>
      </c>
      <c r="H28" s="17" t="s">
        <v>127</v>
      </c>
      <c r="I28" s="15" t="s">
        <v>128</v>
      </c>
    </row>
    <row r="29" ht="15.75" customHeight="1">
      <c r="A29" s="2" t="s">
        <v>112</v>
      </c>
      <c r="B29" s="3" t="s">
        <v>16</v>
      </c>
      <c r="C29" s="14" t="s">
        <v>125</v>
      </c>
      <c r="D29" s="5" t="s">
        <v>126</v>
      </c>
      <c r="E29" s="12" t="s">
        <v>19</v>
      </c>
      <c r="F29" s="12" t="s">
        <v>20</v>
      </c>
      <c r="G29" s="6">
        <v>7.0</v>
      </c>
      <c r="H29" s="17" t="s">
        <v>129</v>
      </c>
      <c r="I29" s="15" t="s">
        <v>130</v>
      </c>
    </row>
    <row r="30" ht="15.75" customHeight="1">
      <c r="A30" s="2" t="s">
        <v>112</v>
      </c>
      <c r="B30" s="3" t="s">
        <v>16</v>
      </c>
      <c r="C30" s="14" t="s">
        <v>131</v>
      </c>
      <c r="D30" s="5" t="s">
        <v>132</v>
      </c>
      <c r="E30" s="5" t="s">
        <v>117</v>
      </c>
      <c r="F30" s="5" t="s">
        <v>118</v>
      </c>
      <c r="G30" s="6">
        <v>8.0</v>
      </c>
      <c r="H30" s="18">
        <v>1.1322916711E11</v>
      </c>
      <c r="I30" s="15" t="s">
        <v>133</v>
      </c>
    </row>
    <row r="31" ht="15.75" customHeight="1">
      <c r="A31" s="2" t="s">
        <v>112</v>
      </c>
      <c r="B31" s="3" t="s">
        <v>16</v>
      </c>
      <c r="C31" s="14" t="s">
        <v>134</v>
      </c>
      <c r="D31" s="5" t="s">
        <v>135</v>
      </c>
      <c r="E31" s="5" t="s">
        <v>117</v>
      </c>
      <c r="F31" s="5" t="s">
        <v>118</v>
      </c>
      <c r="G31" s="6">
        <v>8.0</v>
      </c>
      <c r="H31" s="10" t="s">
        <v>136</v>
      </c>
      <c r="I31" s="15" t="s">
        <v>137</v>
      </c>
    </row>
    <row r="32" ht="15.75" customHeight="1">
      <c r="A32" s="2" t="s">
        <v>112</v>
      </c>
      <c r="B32" s="3" t="s">
        <v>98</v>
      </c>
      <c r="C32" s="3" t="s">
        <v>79</v>
      </c>
      <c r="D32" s="4" t="s">
        <v>138</v>
      </c>
      <c r="E32" s="12" t="s">
        <v>139</v>
      </c>
      <c r="F32" s="12" t="s">
        <v>20</v>
      </c>
      <c r="G32" s="6">
        <v>9.0</v>
      </c>
      <c r="H32" s="18">
        <v>2.13142135175E11</v>
      </c>
      <c r="I32" s="15" t="s">
        <v>140</v>
      </c>
    </row>
    <row r="33" ht="15.75" customHeight="1">
      <c r="A33" s="2" t="s">
        <v>112</v>
      </c>
      <c r="B33" s="3" t="s">
        <v>16</v>
      </c>
      <c r="C33" s="14" t="s">
        <v>141</v>
      </c>
      <c r="D33" s="5" t="s">
        <v>132</v>
      </c>
      <c r="E33" s="12" t="s">
        <v>139</v>
      </c>
      <c r="F33" s="12" t="s">
        <v>20</v>
      </c>
      <c r="G33" s="6">
        <v>9.0</v>
      </c>
      <c r="H33" s="10" t="s">
        <v>142</v>
      </c>
      <c r="I33" s="15" t="s">
        <v>143</v>
      </c>
    </row>
    <row r="34" ht="15.75" customHeight="1">
      <c r="A34" s="2" t="s">
        <v>112</v>
      </c>
      <c r="B34" s="3" t="s">
        <v>144</v>
      </c>
      <c r="C34" s="14" t="s">
        <v>145</v>
      </c>
      <c r="D34" s="5" t="s">
        <v>146</v>
      </c>
      <c r="E34" s="12" t="s">
        <v>139</v>
      </c>
      <c r="F34" s="12" t="s">
        <v>60</v>
      </c>
      <c r="G34" s="6">
        <v>9.0</v>
      </c>
      <c r="H34" s="17" t="s">
        <v>147</v>
      </c>
      <c r="I34" s="15" t="s">
        <v>148</v>
      </c>
    </row>
    <row r="35" ht="15.75" customHeight="1">
      <c r="A35" s="2" t="s">
        <v>112</v>
      </c>
      <c r="B35" s="3" t="s">
        <v>144</v>
      </c>
      <c r="C35" s="14" t="s">
        <v>149</v>
      </c>
      <c r="D35" s="5" t="s">
        <v>150</v>
      </c>
      <c r="E35" s="12" t="s">
        <v>139</v>
      </c>
      <c r="F35" s="12" t="s">
        <v>60</v>
      </c>
      <c r="G35" s="6">
        <v>9.0</v>
      </c>
      <c r="H35" s="17" t="s">
        <v>151</v>
      </c>
      <c r="I35" s="15" t="s">
        <v>152</v>
      </c>
    </row>
    <row r="36" ht="15.75" customHeight="1">
      <c r="A36" s="2" t="s">
        <v>112</v>
      </c>
      <c r="B36" s="3" t="s">
        <v>144</v>
      </c>
      <c r="C36" s="14" t="s">
        <v>149</v>
      </c>
      <c r="D36" s="5" t="s">
        <v>150</v>
      </c>
      <c r="E36" s="5" t="s">
        <v>153</v>
      </c>
      <c r="F36" s="5" t="s">
        <v>154</v>
      </c>
      <c r="G36" s="6">
        <v>8.0</v>
      </c>
      <c r="H36" s="16" t="s">
        <v>155</v>
      </c>
      <c r="I36" s="15" t="s">
        <v>156</v>
      </c>
    </row>
    <row r="37" ht="15.75" customHeight="1">
      <c r="A37" s="2" t="s">
        <v>112</v>
      </c>
      <c r="B37" s="3" t="s">
        <v>144</v>
      </c>
      <c r="C37" s="3" t="s">
        <v>157</v>
      </c>
      <c r="D37" s="5" t="s">
        <v>58</v>
      </c>
      <c r="E37" s="5" t="s">
        <v>153</v>
      </c>
      <c r="F37" s="5" t="s">
        <v>154</v>
      </c>
      <c r="G37" s="6">
        <v>8.0</v>
      </c>
      <c r="H37" s="17" t="s">
        <v>155</v>
      </c>
      <c r="I37" s="15" t="s">
        <v>158</v>
      </c>
    </row>
    <row r="38" ht="15.75" customHeight="1">
      <c r="A38" s="2" t="s">
        <v>112</v>
      </c>
      <c r="B38" s="3" t="s">
        <v>144</v>
      </c>
      <c r="C38" s="14" t="s">
        <v>141</v>
      </c>
      <c r="D38" s="5" t="s">
        <v>159</v>
      </c>
      <c r="E38" s="5" t="s">
        <v>153</v>
      </c>
      <c r="F38" s="5" t="s">
        <v>154</v>
      </c>
      <c r="G38" s="6">
        <v>8.0</v>
      </c>
      <c r="H38" s="16" t="s">
        <v>160</v>
      </c>
      <c r="I38" s="15" t="s">
        <v>161</v>
      </c>
    </row>
    <row r="39" ht="15.75" customHeight="1">
      <c r="A39" s="2" t="s">
        <v>112</v>
      </c>
      <c r="B39" s="3" t="s">
        <v>144</v>
      </c>
      <c r="C39" s="3" t="s">
        <v>162</v>
      </c>
      <c r="D39" s="4" t="s">
        <v>163</v>
      </c>
      <c r="E39" s="5" t="s">
        <v>153</v>
      </c>
      <c r="F39" s="5" t="s">
        <v>154</v>
      </c>
      <c r="G39" s="6">
        <v>8.0</v>
      </c>
      <c r="H39" s="19" t="s">
        <v>160</v>
      </c>
      <c r="I39" s="15" t="s">
        <v>164</v>
      </c>
    </row>
    <row r="40" ht="15.75" customHeight="1">
      <c r="A40" s="2" t="s">
        <v>112</v>
      </c>
      <c r="B40" s="3" t="s">
        <v>63</v>
      </c>
      <c r="C40" s="14" t="s">
        <v>165</v>
      </c>
      <c r="D40" s="5" t="s">
        <v>126</v>
      </c>
      <c r="E40" s="5" t="s">
        <v>153</v>
      </c>
      <c r="F40" s="5" t="s">
        <v>154</v>
      </c>
      <c r="G40" s="6">
        <v>8.0</v>
      </c>
      <c r="H40" s="19">
        <v>1.85163204137E11</v>
      </c>
      <c r="I40" s="20" t="s">
        <v>166</v>
      </c>
    </row>
    <row r="41" ht="15.75" customHeight="1">
      <c r="A41" s="2" t="s">
        <v>112</v>
      </c>
      <c r="B41" s="3" t="s">
        <v>63</v>
      </c>
      <c r="C41" s="3" t="s">
        <v>11</v>
      </c>
      <c r="D41" s="4" t="s">
        <v>58</v>
      </c>
      <c r="E41" s="5" t="s">
        <v>153</v>
      </c>
      <c r="F41" s="5" t="s">
        <v>154</v>
      </c>
      <c r="G41" s="6">
        <v>8.0</v>
      </c>
      <c r="H41" s="7">
        <v>1.6224011025E11</v>
      </c>
      <c r="I41" s="5" t="s">
        <v>167</v>
      </c>
    </row>
    <row r="42" ht="15.75" customHeight="1">
      <c r="A42" s="2" t="s">
        <v>168</v>
      </c>
      <c r="B42" s="3" t="s">
        <v>169</v>
      </c>
      <c r="C42" s="3" t="s">
        <v>170</v>
      </c>
      <c r="D42" s="5" t="s">
        <v>171</v>
      </c>
      <c r="E42" s="5" t="s">
        <v>13</v>
      </c>
      <c r="F42" s="5" t="s">
        <v>14</v>
      </c>
      <c r="G42" s="6">
        <v>8.0</v>
      </c>
      <c r="H42" s="15"/>
      <c r="I42" s="15"/>
    </row>
    <row r="43" ht="15.75" customHeight="1">
      <c r="A43" s="2" t="s">
        <v>168</v>
      </c>
      <c r="B43" s="3" t="s">
        <v>98</v>
      </c>
      <c r="C43" s="3" t="s">
        <v>172</v>
      </c>
      <c r="D43" s="5" t="s">
        <v>173</v>
      </c>
      <c r="E43" s="12" t="s">
        <v>174</v>
      </c>
      <c r="F43" s="5" t="s">
        <v>154</v>
      </c>
      <c r="G43" s="6">
        <v>9.0</v>
      </c>
      <c r="H43" s="10" t="s">
        <v>175</v>
      </c>
      <c r="I43" s="5" t="s">
        <v>176</v>
      </c>
    </row>
    <row r="44" ht="15.75" customHeight="1">
      <c r="A44" s="2" t="s">
        <v>168</v>
      </c>
      <c r="B44" s="3" t="s">
        <v>177</v>
      </c>
      <c r="C44" s="3" t="s">
        <v>178</v>
      </c>
      <c r="D44" s="4" t="s">
        <v>138</v>
      </c>
      <c r="E44" s="5" t="s">
        <v>179</v>
      </c>
      <c r="F44" s="12" t="s">
        <v>34</v>
      </c>
      <c r="G44" s="6">
        <v>9.0</v>
      </c>
      <c r="H44" s="11"/>
      <c r="I44" s="4"/>
    </row>
    <row r="45" ht="15.75" customHeight="1">
      <c r="A45" s="2" t="s">
        <v>168</v>
      </c>
      <c r="B45" s="3" t="s">
        <v>56</v>
      </c>
      <c r="C45" s="3" t="s">
        <v>51</v>
      </c>
      <c r="D45" s="4" t="s">
        <v>105</v>
      </c>
      <c r="E45" s="5" t="s">
        <v>153</v>
      </c>
      <c r="F45" s="5" t="s">
        <v>154</v>
      </c>
      <c r="G45" s="6">
        <v>9.0</v>
      </c>
      <c r="H45" s="11" t="s">
        <v>180</v>
      </c>
      <c r="I45" s="3" t="s">
        <v>181</v>
      </c>
    </row>
    <row r="46" ht="15.75" customHeight="1">
      <c r="A46" s="2" t="s">
        <v>168</v>
      </c>
      <c r="B46" s="3" t="s">
        <v>16</v>
      </c>
      <c r="C46" s="14" t="s">
        <v>182</v>
      </c>
      <c r="D46" s="4" t="s">
        <v>29</v>
      </c>
      <c r="E46" s="5" t="s">
        <v>139</v>
      </c>
      <c r="F46" s="5" t="s">
        <v>154</v>
      </c>
      <c r="G46" s="6">
        <v>8.0</v>
      </c>
      <c r="H46" s="10" t="s">
        <v>183</v>
      </c>
      <c r="I46" s="5" t="s">
        <v>184</v>
      </c>
    </row>
    <row r="47" ht="15.75" customHeight="1">
      <c r="A47" s="2" t="s">
        <v>168</v>
      </c>
      <c r="B47" s="3" t="s">
        <v>185</v>
      </c>
      <c r="C47" s="14" t="s">
        <v>186</v>
      </c>
      <c r="D47" s="5" t="s">
        <v>126</v>
      </c>
      <c r="E47" s="12" t="s">
        <v>139</v>
      </c>
      <c r="F47" s="5" t="s">
        <v>154</v>
      </c>
      <c r="G47" s="6">
        <v>9.0</v>
      </c>
      <c r="H47" s="16" t="s">
        <v>187</v>
      </c>
      <c r="I47" s="15" t="s">
        <v>188</v>
      </c>
    </row>
    <row r="48" ht="15.75" customHeight="1">
      <c r="A48" s="2" t="s">
        <v>168</v>
      </c>
      <c r="B48" s="3" t="s">
        <v>189</v>
      </c>
      <c r="C48" s="14" t="s">
        <v>190</v>
      </c>
      <c r="D48" s="5" t="s">
        <v>132</v>
      </c>
      <c r="E48" s="21" t="s">
        <v>191</v>
      </c>
      <c r="F48" s="12" t="s">
        <v>43</v>
      </c>
      <c r="G48" s="6">
        <v>8.0</v>
      </c>
      <c r="H48" s="16" t="s">
        <v>192</v>
      </c>
      <c r="I48" s="22" t="s">
        <v>124</v>
      </c>
    </row>
    <row r="49" ht="15.75" customHeight="1">
      <c r="A49" s="2" t="s">
        <v>168</v>
      </c>
      <c r="B49" s="3" t="s">
        <v>189</v>
      </c>
      <c r="C49" s="14" t="s">
        <v>193</v>
      </c>
      <c r="D49" s="5" t="s">
        <v>132</v>
      </c>
      <c r="E49" s="23" t="s">
        <v>139</v>
      </c>
      <c r="F49" s="12" t="s">
        <v>154</v>
      </c>
      <c r="G49" s="6">
        <v>9.0</v>
      </c>
      <c r="H49" s="16" t="s">
        <v>194</v>
      </c>
      <c r="I49" s="22" t="s">
        <v>195</v>
      </c>
    </row>
    <row r="50" ht="15.75" customHeight="1">
      <c r="A50" s="2" t="s">
        <v>168</v>
      </c>
      <c r="B50" s="3" t="s">
        <v>189</v>
      </c>
      <c r="C50" s="14" t="s">
        <v>165</v>
      </c>
      <c r="D50" s="5" t="s">
        <v>132</v>
      </c>
      <c r="E50" s="21" t="s">
        <v>33</v>
      </c>
      <c r="F50" s="5" t="s">
        <v>34</v>
      </c>
      <c r="G50" s="6">
        <v>8.0</v>
      </c>
      <c r="H50" s="19" t="s">
        <v>196</v>
      </c>
      <c r="I50" s="22" t="s">
        <v>197</v>
      </c>
    </row>
    <row r="51" ht="15.75" customHeight="1">
      <c r="A51" s="2" t="s">
        <v>168</v>
      </c>
      <c r="B51" s="3" t="s">
        <v>189</v>
      </c>
      <c r="C51" s="14" t="s">
        <v>165</v>
      </c>
      <c r="D51" s="5" t="s">
        <v>132</v>
      </c>
      <c r="E51" s="21" t="s">
        <v>198</v>
      </c>
      <c r="F51" s="12" t="s">
        <v>199</v>
      </c>
      <c r="G51" s="6">
        <v>9.0</v>
      </c>
      <c r="H51" s="18">
        <v>1.0322421221E11</v>
      </c>
      <c r="I51" s="5" t="s">
        <v>200</v>
      </c>
    </row>
    <row r="52" ht="15.75" customHeight="1">
      <c r="A52" s="24" t="s">
        <v>168</v>
      </c>
      <c r="B52" s="25" t="s">
        <v>185</v>
      </c>
      <c r="C52" s="25" t="s">
        <v>186</v>
      </c>
      <c r="D52" s="26" t="s">
        <v>52</v>
      </c>
      <c r="E52" s="25" t="s">
        <v>201</v>
      </c>
      <c r="F52" s="25" t="s">
        <v>154</v>
      </c>
      <c r="G52" s="27">
        <v>9.0</v>
      </c>
      <c r="H52" s="28" t="s">
        <v>187</v>
      </c>
      <c r="I52" s="29" t="s">
        <v>188</v>
      </c>
    </row>
    <row r="53" ht="15.75" customHeight="1">
      <c r="A53" s="30" t="s">
        <v>168</v>
      </c>
      <c r="B53" s="31" t="s">
        <v>16</v>
      </c>
      <c r="C53" s="31" t="s">
        <v>202</v>
      </c>
      <c r="D53" s="32" t="s">
        <v>52</v>
      </c>
      <c r="E53" s="31" t="s">
        <v>201</v>
      </c>
      <c r="F53" s="31" t="s">
        <v>154</v>
      </c>
      <c r="G53" s="33">
        <v>7.0</v>
      </c>
      <c r="H53" s="34" t="s">
        <v>203</v>
      </c>
      <c r="I53" s="35" t="s">
        <v>204</v>
      </c>
    </row>
    <row r="54" ht="15.75" customHeight="1">
      <c r="A54" s="24" t="s">
        <v>168</v>
      </c>
      <c r="B54" s="25" t="s">
        <v>40</v>
      </c>
      <c r="C54" s="25" t="s">
        <v>11</v>
      </c>
      <c r="D54" s="26" t="s">
        <v>58</v>
      </c>
      <c r="E54" s="25" t="s">
        <v>33</v>
      </c>
      <c r="F54" s="25" t="s">
        <v>34</v>
      </c>
      <c r="G54" s="27">
        <v>6.0</v>
      </c>
      <c r="H54" s="28" t="s">
        <v>86</v>
      </c>
      <c r="I54" s="36" t="s">
        <v>45</v>
      </c>
    </row>
    <row r="55" ht="15.75" customHeight="1">
      <c r="A55" s="30" t="s">
        <v>168</v>
      </c>
      <c r="B55" s="31" t="s">
        <v>63</v>
      </c>
      <c r="C55" s="31" t="s">
        <v>11</v>
      </c>
      <c r="D55" s="31" t="s">
        <v>205</v>
      </c>
      <c r="E55" s="31" t="s">
        <v>206</v>
      </c>
      <c r="F55" s="31" t="s">
        <v>14</v>
      </c>
      <c r="G55" s="33">
        <v>7.0</v>
      </c>
      <c r="H55" s="34" t="s">
        <v>207</v>
      </c>
      <c r="I55" s="31" t="s">
        <v>208</v>
      </c>
    </row>
    <row r="56" ht="15.75" customHeight="1">
      <c r="A56" s="24" t="s">
        <v>168</v>
      </c>
      <c r="B56" s="25" t="s">
        <v>63</v>
      </c>
      <c r="C56" s="25" t="s">
        <v>11</v>
      </c>
      <c r="D56" s="26" t="s">
        <v>58</v>
      </c>
      <c r="E56" s="25" t="s">
        <v>206</v>
      </c>
      <c r="F56" s="25" t="s">
        <v>14</v>
      </c>
      <c r="G56" s="27">
        <v>5.0</v>
      </c>
      <c r="H56" s="28" t="s">
        <v>209</v>
      </c>
      <c r="I56" s="29" t="s">
        <v>210</v>
      </c>
    </row>
    <row r="57" ht="15.75" customHeight="1">
      <c r="A57" s="30" t="s">
        <v>168</v>
      </c>
      <c r="B57" s="31" t="s">
        <v>211</v>
      </c>
      <c r="C57" s="31" t="s">
        <v>91</v>
      </c>
      <c r="D57" s="31" t="s">
        <v>212</v>
      </c>
      <c r="E57" s="31" t="s">
        <v>201</v>
      </c>
      <c r="F57" s="31" t="s">
        <v>154</v>
      </c>
      <c r="G57" s="33">
        <v>6.0</v>
      </c>
      <c r="H57" s="34" t="s">
        <v>213</v>
      </c>
      <c r="I57" s="37" t="s">
        <v>214</v>
      </c>
    </row>
    <row r="58" ht="15.75" customHeight="1">
      <c r="A58" s="24" t="s">
        <v>215</v>
      </c>
      <c r="B58" s="25" t="s">
        <v>102</v>
      </c>
      <c r="C58" s="25" t="s">
        <v>11</v>
      </c>
      <c r="D58" s="26" t="s">
        <v>138</v>
      </c>
      <c r="E58" s="25" t="s">
        <v>33</v>
      </c>
      <c r="F58" s="25" t="s">
        <v>34</v>
      </c>
      <c r="G58" s="27">
        <v>8.0</v>
      </c>
      <c r="H58" s="38">
        <v>1.65154227192E11</v>
      </c>
      <c r="I58" s="29" t="s">
        <v>216</v>
      </c>
    </row>
    <row r="59" ht="15.75" customHeight="1">
      <c r="A59" s="30" t="s">
        <v>215</v>
      </c>
      <c r="B59" s="31" t="s">
        <v>217</v>
      </c>
      <c r="C59" s="31" t="s">
        <v>41</v>
      </c>
      <c r="D59" s="31" t="s">
        <v>212</v>
      </c>
      <c r="E59" s="31" t="s">
        <v>201</v>
      </c>
      <c r="F59" s="31" t="s">
        <v>154</v>
      </c>
      <c r="G59" s="33">
        <v>7.0</v>
      </c>
      <c r="H59" s="34" t="s">
        <v>218</v>
      </c>
      <c r="I59" s="37" t="s">
        <v>219</v>
      </c>
    </row>
    <row r="60" ht="15.75" customHeight="1">
      <c r="A60" s="24" t="s">
        <v>215</v>
      </c>
      <c r="B60" s="25" t="s">
        <v>98</v>
      </c>
      <c r="C60" s="25" t="s">
        <v>11</v>
      </c>
      <c r="D60" s="26" t="s">
        <v>84</v>
      </c>
      <c r="E60" s="25" t="s">
        <v>201</v>
      </c>
      <c r="F60" s="25" t="s">
        <v>154</v>
      </c>
      <c r="G60" s="27">
        <v>7.0</v>
      </c>
      <c r="H60" s="28" t="s">
        <v>220</v>
      </c>
      <c r="I60" s="36" t="s">
        <v>221</v>
      </c>
    </row>
    <row r="61" ht="15.75" customHeight="1">
      <c r="A61" s="30" t="s">
        <v>215</v>
      </c>
      <c r="B61" s="31" t="s">
        <v>189</v>
      </c>
      <c r="C61" s="31" t="s">
        <v>11</v>
      </c>
      <c r="D61" s="32" t="s">
        <v>29</v>
      </c>
      <c r="E61" s="32" t="s">
        <v>222</v>
      </c>
      <c r="F61" s="32" t="s">
        <v>223</v>
      </c>
      <c r="G61" s="33">
        <v>7.0</v>
      </c>
      <c r="H61" s="39">
        <v>1.0322421221E11</v>
      </c>
      <c r="I61" s="37" t="s">
        <v>224</v>
      </c>
    </row>
    <row r="62" ht="15.75" customHeight="1">
      <c r="A62" s="24" t="s">
        <v>215</v>
      </c>
      <c r="B62" s="25" t="s">
        <v>189</v>
      </c>
      <c r="C62" s="25" t="s">
        <v>11</v>
      </c>
      <c r="D62" s="26" t="s">
        <v>29</v>
      </c>
      <c r="E62" s="26" t="s">
        <v>222</v>
      </c>
      <c r="F62" s="26" t="s">
        <v>223</v>
      </c>
      <c r="G62" s="27">
        <v>6.0</v>
      </c>
      <c r="H62" s="28" t="s">
        <v>225</v>
      </c>
      <c r="I62" s="29" t="s">
        <v>226</v>
      </c>
    </row>
    <row r="63" ht="15.75" customHeight="1">
      <c r="A63" s="30" t="s">
        <v>215</v>
      </c>
      <c r="B63" s="31" t="s">
        <v>189</v>
      </c>
      <c r="C63" s="31" t="s">
        <v>227</v>
      </c>
      <c r="D63" s="32" t="s">
        <v>29</v>
      </c>
      <c r="E63" s="32" t="s">
        <v>222</v>
      </c>
      <c r="F63" s="32" t="s">
        <v>223</v>
      </c>
      <c r="G63" s="33">
        <v>7.0</v>
      </c>
      <c r="H63" s="34" t="s">
        <v>228</v>
      </c>
      <c r="I63" s="37" t="s">
        <v>229</v>
      </c>
    </row>
    <row r="64" ht="15.75" customHeight="1">
      <c r="A64" s="24" t="s">
        <v>215</v>
      </c>
      <c r="B64" s="25" t="s">
        <v>189</v>
      </c>
      <c r="C64" s="25" t="s">
        <v>11</v>
      </c>
      <c r="D64" s="26" t="s">
        <v>29</v>
      </c>
      <c r="E64" s="26" t="s">
        <v>222</v>
      </c>
      <c r="F64" s="26" t="s">
        <v>223</v>
      </c>
      <c r="G64" s="27">
        <v>6.0</v>
      </c>
      <c r="H64" s="28" t="s">
        <v>230</v>
      </c>
      <c r="I64" s="29" t="s">
        <v>231</v>
      </c>
    </row>
    <row r="65" ht="15.75" customHeight="1">
      <c r="A65" s="30" t="s">
        <v>215</v>
      </c>
      <c r="B65" s="31" t="s">
        <v>189</v>
      </c>
      <c r="C65" s="31" t="s">
        <v>11</v>
      </c>
      <c r="D65" s="32" t="s">
        <v>12</v>
      </c>
      <c r="E65" s="32" t="s">
        <v>222</v>
      </c>
      <c r="F65" s="32" t="s">
        <v>223</v>
      </c>
      <c r="G65" s="33">
        <v>7.0</v>
      </c>
      <c r="H65" s="34" t="s">
        <v>232</v>
      </c>
      <c r="I65" s="37" t="s">
        <v>233</v>
      </c>
    </row>
    <row r="66" ht="15.75" customHeight="1">
      <c r="A66" s="24" t="s">
        <v>215</v>
      </c>
      <c r="B66" s="25" t="s">
        <v>56</v>
      </c>
      <c r="C66" s="25" t="s">
        <v>57</v>
      </c>
      <c r="D66" s="26" t="s">
        <v>25</v>
      </c>
      <c r="E66" s="25" t="s">
        <v>201</v>
      </c>
      <c r="F66" s="25" t="s">
        <v>154</v>
      </c>
      <c r="G66" s="27">
        <v>7.0</v>
      </c>
      <c r="H66" s="11" t="s">
        <v>180</v>
      </c>
      <c r="I66" s="3" t="s">
        <v>181</v>
      </c>
    </row>
    <row r="67" ht="15.75" customHeight="1">
      <c r="A67" s="30" t="s">
        <v>215</v>
      </c>
      <c r="B67" s="31" t="s">
        <v>40</v>
      </c>
      <c r="C67" s="31" t="s">
        <v>79</v>
      </c>
      <c r="D67" s="32" t="s">
        <v>58</v>
      </c>
      <c r="E67" s="31" t="s">
        <v>33</v>
      </c>
      <c r="F67" s="31" t="s">
        <v>34</v>
      </c>
      <c r="G67" s="33">
        <v>7.0</v>
      </c>
      <c r="H67" s="34" t="s">
        <v>234</v>
      </c>
      <c r="I67" s="37" t="s">
        <v>235</v>
      </c>
    </row>
    <row r="68" ht="15.75" customHeight="1">
      <c r="A68" s="24" t="s">
        <v>215</v>
      </c>
      <c r="B68" s="25" t="s">
        <v>236</v>
      </c>
      <c r="C68" s="25" t="s">
        <v>79</v>
      </c>
      <c r="D68" s="26" t="s">
        <v>12</v>
      </c>
      <c r="E68" s="25" t="s">
        <v>201</v>
      </c>
      <c r="F68" s="25" t="s">
        <v>154</v>
      </c>
      <c r="G68" s="27">
        <v>7.0</v>
      </c>
      <c r="H68" s="11" t="s">
        <v>237</v>
      </c>
      <c r="I68" s="29" t="s">
        <v>238</v>
      </c>
    </row>
    <row r="69" ht="15.75" customHeight="1">
      <c r="A69" s="30" t="s">
        <v>215</v>
      </c>
      <c r="B69" s="31" t="s">
        <v>236</v>
      </c>
      <c r="C69" s="31" t="s">
        <v>51</v>
      </c>
      <c r="D69" s="32" t="s">
        <v>12</v>
      </c>
      <c r="E69" s="31" t="s">
        <v>201</v>
      </c>
      <c r="F69" s="31" t="s">
        <v>154</v>
      </c>
      <c r="G69" s="33">
        <v>6.0</v>
      </c>
      <c r="H69" s="34" t="s">
        <v>239</v>
      </c>
      <c r="I69" s="37" t="s">
        <v>240</v>
      </c>
    </row>
    <row r="70" ht="15.75" customHeight="1">
      <c r="A70" s="24" t="s">
        <v>215</v>
      </c>
      <c r="B70" s="25" t="s">
        <v>56</v>
      </c>
      <c r="C70" s="25" t="s">
        <v>11</v>
      </c>
      <c r="D70" s="26" t="s">
        <v>58</v>
      </c>
      <c r="E70" s="25" t="s">
        <v>201</v>
      </c>
      <c r="F70" s="25" t="s">
        <v>154</v>
      </c>
      <c r="G70" s="27">
        <v>6.0</v>
      </c>
      <c r="H70" s="11" t="s">
        <v>241</v>
      </c>
      <c r="I70" s="3" t="s">
        <v>242</v>
      </c>
    </row>
    <row r="71" ht="15.75" customHeight="1">
      <c r="A71" s="30" t="s">
        <v>215</v>
      </c>
      <c r="B71" s="31" t="s">
        <v>63</v>
      </c>
      <c r="C71" s="31" t="s">
        <v>79</v>
      </c>
      <c r="D71" s="32" t="s">
        <v>163</v>
      </c>
      <c r="E71" s="31" t="s">
        <v>206</v>
      </c>
      <c r="F71" s="31" t="s">
        <v>14</v>
      </c>
      <c r="G71" s="33">
        <v>6.0</v>
      </c>
      <c r="H71" s="40">
        <v>1.85163204137E11</v>
      </c>
      <c r="I71" s="41" t="s">
        <v>243</v>
      </c>
    </row>
    <row r="72" ht="15.75" customHeight="1">
      <c r="A72" s="24" t="s">
        <v>215</v>
      </c>
      <c r="B72" s="25" t="s">
        <v>211</v>
      </c>
      <c r="C72" s="25" t="s">
        <v>41</v>
      </c>
      <c r="D72" s="26" t="s">
        <v>58</v>
      </c>
      <c r="E72" s="25" t="s">
        <v>201</v>
      </c>
      <c r="F72" s="25" t="s">
        <v>154</v>
      </c>
      <c r="G72" s="27">
        <v>8.0</v>
      </c>
      <c r="H72" s="28" t="s">
        <v>244</v>
      </c>
      <c r="I72" s="29" t="s">
        <v>245</v>
      </c>
    </row>
    <row r="73" ht="15.75" customHeight="1">
      <c r="A73" s="30" t="s">
        <v>215</v>
      </c>
      <c r="B73" s="31" t="s">
        <v>211</v>
      </c>
      <c r="C73" s="31" t="s">
        <v>246</v>
      </c>
      <c r="D73" s="32" t="s">
        <v>84</v>
      </c>
      <c r="E73" s="31" t="s">
        <v>201</v>
      </c>
      <c r="F73" s="31" t="s">
        <v>154</v>
      </c>
      <c r="G73" s="33">
        <v>7.0</v>
      </c>
      <c r="H73" s="34" t="s">
        <v>247</v>
      </c>
      <c r="I73" s="42" t="s">
        <v>248</v>
      </c>
    </row>
    <row r="74" ht="15.75" customHeight="1">
      <c r="A74" s="24" t="s">
        <v>215</v>
      </c>
      <c r="B74" s="25" t="s">
        <v>211</v>
      </c>
      <c r="C74" s="25" t="s">
        <v>41</v>
      </c>
      <c r="D74" s="26" t="s">
        <v>58</v>
      </c>
      <c r="E74" s="25" t="s">
        <v>201</v>
      </c>
      <c r="F74" s="25" t="s">
        <v>154</v>
      </c>
      <c r="G74" s="27">
        <v>6.0</v>
      </c>
      <c r="H74" s="28" t="s">
        <v>249</v>
      </c>
      <c r="I74" s="31" t="s">
        <v>250</v>
      </c>
    </row>
    <row r="75" ht="15.75" customHeight="1">
      <c r="A75" s="30" t="s">
        <v>215</v>
      </c>
      <c r="B75" s="31" t="s">
        <v>211</v>
      </c>
      <c r="C75" s="31" t="s">
        <v>11</v>
      </c>
      <c r="D75" s="32" t="s">
        <v>138</v>
      </c>
      <c r="E75" s="31" t="s">
        <v>201</v>
      </c>
      <c r="F75" s="31" t="s">
        <v>154</v>
      </c>
      <c r="G75" s="33">
        <v>7.0</v>
      </c>
      <c r="H75" s="34" t="s">
        <v>213</v>
      </c>
      <c r="I75" s="31" t="s">
        <v>243</v>
      </c>
    </row>
    <row r="76" ht="15.75" customHeight="1">
      <c r="A76" s="24" t="s">
        <v>251</v>
      </c>
      <c r="B76" s="25" t="s">
        <v>98</v>
      </c>
      <c r="C76" s="25" t="s">
        <v>252</v>
      </c>
      <c r="D76" s="26" t="s">
        <v>253</v>
      </c>
      <c r="E76" s="25" t="s">
        <v>206</v>
      </c>
      <c r="F76" s="25" t="s">
        <v>14</v>
      </c>
      <c r="G76" s="27">
        <v>5.0</v>
      </c>
      <c r="H76" s="28" t="s">
        <v>254</v>
      </c>
      <c r="I76" s="36" t="s">
        <v>255</v>
      </c>
    </row>
    <row r="77" ht="15.75" customHeight="1">
      <c r="A77" s="2" t="s">
        <v>251</v>
      </c>
      <c r="B77" s="3" t="s">
        <v>56</v>
      </c>
      <c r="C77" s="3" t="s">
        <v>11</v>
      </c>
      <c r="D77" s="4" t="s">
        <v>92</v>
      </c>
      <c r="E77" s="4" t="s">
        <v>153</v>
      </c>
      <c r="F77" s="4" t="s">
        <v>154</v>
      </c>
      <c r="G77" s="43">
        <v>8.0</v>
      </c>
      <c r="H77" s="11" t="s">
        <v>256</v>
      </c>
      <c r="I77" s="4" t="s">
        <v>257</v>
      </c>
    </row>
    <row r="78" ht="15.75" customHeight="1">
      <c r="A78" s="2" t="s">
        <v>251</v>
      </c>
      <c r="B78" s="3" t="s">
        <v>98</v>
      </c>
      <c r="C78" s="3" t="s">
        <v>11</v>
      </c>
      <c r="D78" s="4" t="s">
        <v>28</v>
      </c>
      <c r="E78" s="4" t="s">
        <v>33</v>
      </c>
      <c r="F78" s="4" t="s">
        <v>258</v>
      </c>
      <c r="G78" s="43">
        <v>9.0</v>
      </c>
      <c r="H78" s="11" t="s">
        <v>259</v>
      </c>
      <c r="I78" s="4" t="s">
        <v>260</v>
      </c>
    </row>
    <row r="79" ht="15.75" customHeight="1">
      <c r="A79" s="2" t="s">
        <v>251</v>
      </c>
      <c r="B79" s="3" t="s">
        <v>98</v>
      </c>
      <c r="C79" s="3" t="s">
        <v>11</v>
      </c>
      <c r="D79" s="4" t="s">
        <v>84</v>
      </c>
      <c r="E79" s="4" t="s">
        <v>261</v>
      </c>
      <c r="F79" s="4" t="s">
        <v>65</v>
      </c>
      <c r="G79" s="43">
        <v>9.0</v>
      </c>
      <c r="H79" s="11" t="s">
        <v>262</v>
      </c>
      <c r="I79" s="4" t="s">
        <v>263</v>
      </c>
    </row>
    <row r="80" ht="15.75" customHeight="1">
      <c r="A80" s="2" t="s">
        <v>251</v>
      </c>
      <c r="B80" s="3" t="s">
        <v>102</v>
      </c>
      <c r="C80" s="3" t="s">
        <v>162</v>
      </c>
      <c r="D80" s="4" t="s">
        <v>28</v>
      </c>
      <c r="E80" s="4" t="s">
        <v>264</v>
      </c>
      <c r="F80" s="4" t="s">
        <v>265</v>
      </c>
      <c r="G80" s="43">
        <v>8.0</v>
      </c>
      <c r="H80" s="44">
        <v>1.85174100204E11</v>
      </c>
      <c r="I80" s="4" t="s">
        <v>266</v>
      </c>
    </row>
    <row r="81" ht="15.75" customHeight="1">
      <c r="A81" s="2" t="s">
        <v>251</v>
      </c>
      <c r="B81" s="3" t="s">
        <v>16</v>
      </c>
      <c r="C81" s="3" t="s">
        <v>28</v>
      </c>
      <c r="D81" s="4" t="s">
        <v>29</v>
      </c>
      <c r="E81" s="3" t="s">
        <v>153</v>
      </c>
      <c r="F81" s="3" t="s">
        <v>154</v>
      </c>
      <c r="G81" s="43">
        <v>8.0</v>
      </c>
      <c r="H81" s="11" t="s">
        <v>267</v>
      </c>
      <c r="I81" s="3" t="s">
        <v>36</v>
      </c>
    </row>
    <row r="82" ht="15.75" customHeight="1">
      <c r="A82" s="2" t="s">
        <v>251</v>
      </c>
      <c r="B82" s="3" t="s">
        <v>16</v>
      </c>
      <c r="C82" s="3" t="s">
        <v>268</v>
      </c>
      <c r="D82" s="4" t="s">
        <v>28</v>
      </c>
      <c r="E82" s="3" t="s">
        <v>139</v>
      </c>
      <c r="F82" s="3" t="s">
        <v>154</v>
      </c>
      <c r="G82" s="43">
        <v>8.0</v>
      </c>
      <c r="H82" s="11" t="s">
        <v>267</v>
      </c>
      <c r="I82" s="3" t="s">
        <v>36</v>
      </c>
    </row>
    <row r="83" ht="15.75" customHeight="1">
      <c r="A83" s="2" t="s">
        <v>251</v>
      </c>
      <c r="B83" s="3" t="s">
        <v>98</v>
      </c>
      <c r="C83" s="3" t="s">
        <v>269</v>
      </c>
      <c r="D83" s="4" t="s">
        <v>58</v>
      </c>
      <c r="E83" s="3" t="s">
        <v>117</v>
      </c>
      <c r="F83" s="3" t="s">
        <v>270</v>
      </c>
      <c r="G83" s="43">
        <v>9.0</v>
      </c>
      <c r="H83" s="11" t="s">
        <v>254</v>
      </c>
      <c r="I83" s="3" t="s">
        <v>271</v>
      </c>
    </row>
    <row r="84" ht="15.75" customHeight="1">
      <c r="A84" s="2" t="s">
        <v>272</v>
      </c>
      <c r="B84" s="3" t="s">
        <v>98</v>
      </c>
      <c r="C84" s="3" t="s">
        <v>11</v>
      </c>
      <c r="D84" s="4" t="s">
        <v>58</v>
      </c>
      <c r="E84" s="3" t="s">
        <v>153</v>
      </c>
      <c r="F84" s="3" t="s">
        <v>154</v>
      </c>
      <c r="G84" s="43">
        <v>9.0</v>
      </c>
      <c r="H84" s="11" t="s">
        <v>220</v>
      </c>
      <c r="I84" s="3" t="s">
        <v>273</v>
      </c>
    </row>
    <row r="85" ht="15.75" customHeight="1">
      <c r="A85" s="2" t="s">
        <v>272</v>
      </c>
      <c r="B85" s="3" t="s">
        <v>23</v>
      </c>
      <c r="C85" s="3" t="s">
        <v>227</v>
      </c>
      <c r="D85" s="4" t="s">
        <v>138</v>
      </c>
      <c r="E85" s="3" t="s">
        <v>274</v>
      </c>
      <c r="F85" s="3" t="s">
        <v>31</v>
      </c>
      <c r="G85" s="43">
        <v>8.0</v>
      </c>
      <c r="H85" s="11" t="s">
        <v>275</v>
      </c>
      <c r="I85" s="3" t="s">
        <v>276</v>
      </c>
    </row>
    <row r="86" ht="15.75" customHeight="1">
      <c r="A86" s="2" t="s">
        <v>272</v>
      </c>
      <c r="B86" s="3" t="s">
        <v>23</v>
      </c>
      <c r="C86" s="3" t="s">
        <v>170</v>
      </c>
      <c r="D86" s="4" t="s">
        <v>92</v>
      </c>
      <c r="E86" s="3" t="s">
        <v>277</v>
      </c>
      <c r="F86" s="3" t="s">
        <v>278</v>
      </c>
      <c r="G86" s="43">
        <v>8.0</v>
      </c>
      <c r="H86" s="44">
        <v>1.15202186122E11</v>
      </c>
      <c r="I86" s="3" t="s">
        <v>279</v>
      </c>
    </row>
    <row r="87" ht="15.75" customHeight="1">
      <c r="A87" s="2" t="s">
        <v>272</v>
      </c>
      <c r="B87" s="3" t="s">
        <v>23</v>
      </c>
      <c r="C87" s="3" t="s">
        <v>28</v>
      </c>
      <c r="D87" s="4" t="s">
        <v>28</v>
      </c>
      <c r="E87" s="3" t="s">
        <v>280</v>
      </c>
      <c r="F87" s="3" t="s">
        <v>281</v>
      </c>
      <c r="G87" s="43">
        <v>8.0</v>
      </c>
      <c r="H87" s="11" t="s">
        <v>282</v>
      </c>
      <c r="I87" s="3" t="s">
        <v>276</v>
      </c>
    </row>
    <row r="88" ht="15.75" customHeight="1">
      <c r="A88" s="2" t="s">
        <v>272</v>
      </c>
      <c r="B88" s="3" t="s">
        <v>16</v>
      </c>
      <c r="C88" s="3" t="s">
        <v>283</v>
      </c>
      <c r="D88" s="4" t="s">
        <v>58</v>
      </c>
      <c r="E88" s="3" t="s">
        <v>33</v>
      </c>
      <c r="F88" s="3" t="s">
        <v>34</v>
      </c>
      <c r="G88" s="43">
        <v>8.0</v>
      </c>
      <c r="H88" s="11" t="s">
        <v>267</v>
      </c>
      <c r="I88" s="3" t="s">
        <v>36</v>
      </c>
    </row>
    <row r="89" ht="15.75" customHeight="1">
      <c r="A89" s="2" t="s">
        <v>272</v>
      </c>
      <c r="B89" s="3" t="s">
        <v>16</v>
      </c>
      <c r="C89" s="3" t="s">
        <v>28</v>
      </c>
      <c r="D89" s="4" t="s">
        <v>12</v>
      </c>
      <c r="E89" s="3" t="s">
        <v>117</v>
      </c>
      <c r="F89" s="3" t="s">
        <v>270</v>
      </c>
      <c r="G89" s="43">
        <v>8.0</v>
      </c>
      <c r="H89" s="11" t="s">
        <v>267</v>
      </c>
      <c r="I89" s="3" t="s">
        <v>36</v>
      </c>
    </row>
    <row r="90" ht="15.75" customHeight="1">
      <c r="A90" s="2" t="s">
        <v>272</v>
      </c>
      <c r="B90" s="3" t="s">
        <v>284</v>
      </c>
      <c r="C90" s="3" t="s">
        <v>79</v>
      </c>
      <c r="D90" s="4" t="s">
        <v>28</v>
      </c>
      <c r="E90" s="3" t="s">
        <v>285</v>
      </c>
      <c r="F90" s="3" t="s">
        <v>154</v>
      </c>
      <c r="G90" s="43">
        <v>8.0</v>
      </c>
      <c r="H90" s="11" t="s">
        <v>286</v>
      </c>
      <c r="I90" s="3" t="s">
        <v>287</v>
      </c>
    </row>
    <row r="91" ht="15.75" customHeight="1">
      <c r="A91" s="2" t="s">
        <v>272</v>
      </c>
      <c r="B91" s="3" t="s">
        <v>284</v>
      </c>
      <c r="C91" s="3" t="s">
        <v>170</v>
      </c>
      <c r="D91" s="4" t="s">
        <v>58</v>
      </c>
      <c r="E91" s="3" t="s">
        <v>117</v>
      </c>
      <c r="F91" s="3" t="s">
        <v>270</v>
      </c>
      <c r="G91" s="43">
        <v>9.0</v>
      </c>
      <c r="H91" s="11" t="s">
        <v>288</v>
      </c>
      <c r="I91" s="3" t="s">
        <v>289</v>
      </c>
    </row>
    <row r="92" ht="15.75" customHeight="1">
      <c r="A92" s="2" t="s">
        <v>272</v>
      </c>
      <c r="B92" s="3" t="s">
        <v>16</v>
      </c>
      <c r="C92" s="3" t="s">
        <v>290</v>
      </c>
      <c r="D92" s="4" t="s">
        <v>25</v>
      </c>
      <c r="E92" s="3" t="s">
        <v>13</v>
      </c>
      <c r="F92" s="3" t="s">
        <v>14</v>
      </c>
      <c r="G92" s="43">
        <v>8.0</v>
      </c>
      <c r="H92" s="11" t="s">
        <v>267</v>
      </c>
      <c r="I92" s="3" t="s">
        <v>36</v>
      </c>
    </row>
    <row r="93" ht="15.75" customHeight="1">
      <c r="A93" s="2" t="s">
        <v>272</v>
      </c>
      <c r="B93" s="3" t="s">
        <v>16</v>
      </c>
      <c r="C93" s="3" t="s">
        <v>28</v>
      </c>
      <c r="D93" s="4" t="s">
        <v>163</v>
      </c>
      <c r="E93" s="3" t="s">
        <v>153</v>
      </c>
      <c r="F93" s="3" t="s">
        <v>154</v>
      </c>
      <c r="G93" s="43">
        <v>8.0</v>
      </c>
      <c r="H93" s="11" t="s">
        <v>267</v>
      </c>
      <c r="I93" s="3" t="s">
        <v>36</v>
      </c>
    </row>
    <row r="94" ht="15.75" customHeight="1">
      <c r="A94" s="2" t="s">
        <v>272</v>
      </c>
      <c r="B94" s="3" t="s">
        <v>291</v>
      </c>
      <c r="C94" s="3" t="s">
        <v>292</v>
      </c>
      <c r="D94" s="4" t="s">
        <v>28</v>
      </c>
      <c r="E94" s="3" t="s">
        <v>261</v>
      </c>
      <c r="F94" s="3" t="s">
        <v>65</v>
      </c>
      <c r="G94" s="43">
        <v>9.0</v>
      </c>
      <c r="H94" s="11" t="s">
        <v>293</v>
      </c>
      <c r="I94" s="3" t="s">
        <v>294</v>
      </c>
    </row>
    <row r="95" ht="15.75" customHeight="1">
      <c r="A95" s="2" t="s">
        <v>272</v>
      </c>
      <c r="B95" s="3" t="s">
        <v>291</v>
      </c>
      <c r="C95" s="3" t="s">
        <v>57</v>
      </c>
      <c r="D95" s="4" t="s">
        <v>92</v>
      </c>
      <c r="E95" s="3" t="s">
        <v>117</v>
      </c>
      <c r="F95" s="3" t="s">
        <v>270</v>
      </c>
      <c r="G95" s="43">
        <v>9.0</v>
      </c>
      <c r="H95" s="11" t="s">
        <v>295</v>
      </c>
      <c r="I95" s="3" t="s">
        <v>296</v>
      </c>
    </row>
    <row r="96" ht="15.75" customHeight="1">
      <c r="A96" s="2" t="s">
        <v>272</v>
      </c>
      <c r="B96" s="3" t="s">
        <v>56</v>
      </c>
      <c r="C96" s="3" t="s">
        <v>11</v>
      </c>
      <c r="D96" s="4" t="s">
        <v>12</v>
      </c>
      <c r="E96" s="3" t="s">
        <v>297</v>
      </c>
      <c r="F96" s="3" t="s">
        <v>43</v>
      </c>
      <c r="G96" s="43">
        <v>8.0</v>
      </c>
      <c r="H96" s="11" t="s">
        <v>241</v>
      </c>
      <c r="I96" s="3" t="s">
        <v>181</v>
      </c>
    </row>
    <row r="97" ht="15.75" customHeight="1">
      <c r="A97" s="2" t="s">
        <v>272</v>
      </c>
      <c r="B97" s="3" t="s">
        <v>102</v>
      </c>
      <c r="C97" s="3" t="s">
        <v>11</v>
      </c>
      <c r="D97" s="4" t="s">
        <v>163</v>
      </c>
      <c r="E97" s="4" t="s">
        <v>33</v>
      </c>
      <c r="F97" s="4" t="s">
        <v>34</v>
      </c>
      <c r="G97" s="43">
        <v>8.0</v>
      </c>
      <c r="H97" s="44">
        <v>1.85174100204E11</v>
      </c>
      <c r="I97" s="4" t="s">
        <v>298</v>
      </c>
    </row>
    <row r="98" ht="15.75" customHeight="1">
      <c r="A98" s="2" t="s">
        <v>272</v>
      </c>
      <c r="B98" s="3" t="s">
        <v>56</v>
      </c>
      <c r="C98" s="3" t="s">
        <v>17</v>
      </c>
      <c r="D98" s="4" t="s">
        <v>163</v>
      </c>
      <c r="E98" s="3" t="s">
        <v>274</v>
      </c>
      <c r="F98" s="3" t="s">
        <v>31</v>
      </c>
      <c r="G98" s="43">
        <v>8.0</v>
      </c>
      <c r="H98" s="11" t="s">
        <v>180</v>
      </c>
      <c r="I98" s="3" t="s">
        <v>242</v>
      </c>
    </row>
    <row r="99" ht="15.75" customHeight="1">
      <c r="A99" s="2" t="s">
        <v>272</v>
      </c>
      <c r="B99" s="3" t="s">
        <v>144</v>
      </c>
      <c r="C99" s="3" t="s">
        <v>28</v>
      </c>
      <c r="D99" s="4" t="s">
        <v>28</v>
      </c>
      <c r="E99" s="3" t="s">
        <v>33</v>
      </c>
      <c r="F99" s="3" t="s">
        <v>34</v>
      </c>
      <c r="G99" s="43">
        <v>7.0</v>
      </c>
      <c r="H99" s="11" t="s">
        <v>299</v>
      </c>
      <c r="I99" s="3" t="s">
        <v>300</v>
      </c>
    </row>
    <row r="100" ht="15.75" customHeight="1">
      <c r="A100" s="2" t="s">
        <v>272</v>
      </c>
      <c r="B100" s="3" t="s">
        <v>23</v>
      </c>
      <c r="C100" s="3" t="s">
        <v>227</v>
      </c>
      <c r="D100" s="4" t="s">
        <v>12</v>
      </c>
      <c r="E100" s="3" t="s">
        <v>53</v>
      </c>
      <c r="F100" s="3" t="s">
        <v>301</v>
      </c>
      <c r="G100" s="43">
        <v>8.0</v>
      </c>
      <c r="H100" s="11" t="s">
        <v>302</v>
      </c>
      <c r="I100" s="4" t="s">
        <v>279</v>
      </c>
    </row>
    <row r="101" ht="15.75" customHeight="1">
      <c r="A101" s="2" t="s">
        <v>272</v>
      </c>
      <c r="B101" s="3" t="s">
        <v>303</v>
      </c>
      <c r="C101" s="3" t="s">
        <v>268</v>
      </c>
      <c r="D101" s="4" t="s">
        <v>304</v>
      </c>
      <c r="E101" s="3" t="s">
        <v>153</v>
      </c>
      <c r="F101" s="3" t="s">
        <v>154</v>
      </c>
      <c r="G101" s="43">
        <v>8.0</v>
      </c>
      <c r="H101" s="11" t="s">
        <v>305</v>
      </c>
      <c r="I101" s="3" t="s">
        <v>306</v>
      </c>
    </row>
    <row r="102" ht="15.75" customHeight="1">
      <c r="H102" s="45"/>
    </row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28.0"/>
    <col customWidth="1" min="3" max="3" width="8.63"/>
    <col customWidth="1" min="4" max="5" width="28.0"/>
    <col customWidth="1" min="6" max="6" width="8.63"/>
    <col customWidth="1" min="7" max="8" width="28.0"/>
  </cols>
  <sheetData>
    <row r="1">
      <c r="A1" s="46" t="s">
        <v>307</v>
      </c>
    </row>
    <row r="2">
      <c r="A2" s="47" t="s">
        <v>308</v>
      </c>
      <c r="B2" s="48">
        <v>100.0</v>
      </c>
      <c r="D2" s="49" t="s">
        <v>309</v>
      </c>
      <c r="E2" s="49" t="s">
        <v>310</v>
      </c>
      <c r="G2" s="49" t="s">
        <v>311</v>
      </c>
      <c r="H2" s="49" t="s">
        <v>310</v>
      </c>
    </row>
    <row r="3">
      <c r="A3" s="47" t="s">
        <v>312</v>
      </c>
      <c r="B3" s="48">
        <v>26.0</v>
      </c>
      <c r="D3" s="48" t="s">
        <v>16</v>
      </c>
      <c r="E3" s="48">
        <v>17.0</v>
      </c>
      <c r="G3" s="48" t="s">
        <v>28</v>
      </c>
      <c r="H3" s="48">
        <v>34.0</v>
      </c>
    </row>
    <row r="4">
      <c r="A4" s="47" t="s">
        <v>313</v>
      </c>
      <c r="B4" s="48">
        <v>30.0</v>
      </c>
      <c r="D4" s="48" t="s">
        <v>98</v>
      </c>
      <c r="E4" s="48">
        <v>9.0</v>
      </c>
      <c r="G4" s="48" t="s">
        <v>11</v>
      </c>
      <c r="H4" s="48">
        <v>15.0</v>
      </c>
    </row>
    <row r="5">
      <c r="A5" s="47" t="s">
        <v>314</v>
      </c>
      <c r="B5" s="48">
        <v>34.0</v>
      </c>
      <c r="D5" s="48" t="s">
        <v>189</v>
      </c>
      <c r="E5" s="48">
        <v>9.0</v>
      </c>
      <c r="G5" s="48" t="s">
        <v>41</v>
      </c>
      <c r="H5" s="48">
        <v>5.0</v>
      </c>
    </row>
    <row r="6">
      <c r="A6" s="47" t="s">
        <v>315</v>
      </c>
      <c r="B6" s="48">
        <v>27.0</v>
      </c>
      <c r="D6" s="48" t="s">
        <v>63</v>
      </c>
      <c r="E6" s="48">
        <v>8.0</v>
      </c>
      <c r="G6" s="48" t="s">
        <v>79</v>
      </c>
      <c r="H6" s="48">
        <v>5.0</v>
      </c>
    </row>
    <row r="7">
      <c r="A7" s="47" t="s">
        <v>316</v>
      </c>
      <c r="B7" s="48">
        <f>IFERROR(AVERAGE(Dataset!G2:G101),0)</f>
        <v>7.8</v>
      </c>
      <c r="D7" s="48" t="s">
        <v>23</v>
      </c>
      <c r="E7" s="48">
        <v>7.0</v>
      </c>
      <c r="G7" s="48" t="s">
        <v>57</v>
      </c>
      <c r="H7" s="48">
        <v>4.0</v>
      </c>
    </row>
    <row r="8">
      <c r="D8" s="48" t="s">
        <v>56</v>
      </c>
      <c r="E8" s="48">
        <v>7.0</v>
      </c>
      <c r="G8" s="48" t="s">
        <v>17</v>
      </c>
      <c r="H8" s="48">
        <v>3.0</v>
      </c>
    </row>
    <row r="9">
      <c r="D9" s="48" t="s">
        <v>144</v>
      </c>
      <c r="E9" s="48">
        <v>7.0</v>
      </c>
      <c r="G9" s="48" t="s">
        <v>51</v>
      </c>
      <c r="H9" s="48">
        <v>3.0</v>
      </c>
    </row>
    <row r="10">
      <c r="D10" s="48" t="s">
        <v>102</v>
      </c>
      <c r="E10" s="48">
        <v>5.0</v>
      </c>
      <c r="G10" s="48" t="s">
        <v>91</v>
      </c>
      <c r="H10" s="48">
        <v>3.0</v>
      </c>
    </row>
    <row r="11">
      <c r="D11" s="48" t="s">
        <v>211</v>
      </c>
      <c r="E11" s="48">
        <v>5.0</v>
      </c>
      <c r="G11" s="48" t="s">
        <v>170</v>
      </c>
      <c r="H11" s="48">
        <v>3.0</v>
      </c>
    </row>
    <row r="12">
      <c r="D12" s="48" t="s">
        <v>40</v>
      </c>
      <c r="E12" s="48">
        <v>4.0</v>
      </c>
      <c r="G12" s="48" t="s">
        <v>157</v>
      </c>
      <c r="H12" s="48">
        <v>2.0</v>
      </c>
    </row>
    <row r="15">
      <c r="D15" s="49" t="s">
        <v>317</v>
      </c>
      <c r="E15" s="49" t="s">
        <v>310</v>
      </c>
    </row>
    <row r="16">
      <c r="D16" s="48" t="s">
        <v>28</v>
      </c>
      <c r="E16" s="48">
        <v>27.0</v>
      </c>
    </row>
    <row r="17">
      <c r="D17" s="48" t="s">
        <v>12</v>
      </c>
      <c r="E17" s="48">
        <v>14.0</v>
      </c>
    </row>
    <row r="18">
      <c r="D18" s="48" t="s">
        <v>58</v>
      </c>
      <c r="E18" s="48">
        <v>10.0</v>
      </c>
    </row>
    <row r="19">
      <c r="D19" s="48" t="s">
        <v>163</v>
      </c>
      <c r="E19" s="48">
        <v>8.0</v>
      </c>
    </row>
    <row r="20">
      <c r="D20" s="48" t="s">
        <v>29</v>
      </c>
      <c r="E20" s="48">
        <v>7.0</v>
      </c>
    </row>
    <row r="21" ht="15.75" customHeight="1">
      <c r="D21" s="48" t="s">
        <v>25</v>
      </c>
      <c r="E21" s="48">
        <v>6.0</v>
      </c>
    </row>
    <row r="22" ht="15.75" customHeight="1">
      <c r="D22" s="48" t="s">
        <v>52</v>
      </c>
      <c r="E22" s="48">
        <v>5.0</v>
      </c>
    </row>
    <row r="23" ht="15.75" customHeight="1">
      <c r="D23" s="48" t="s">
        <v>138</v>
      </c>
      <c r="E23" s="48">
        <v>5.0</v>
      </c>
    </row>
    <row r="24" ht="15.75" customHeight="1">
      <c r="D24" s="48" t="s">
        <v>18</v>
      </c>
      <c r="E24" s="48">
        <v>4.0</v>
      </c>
    </row>
    <row r="25" ht="15.75" customHeight="1">
      <c r="D25" s="48" t="s">
        <v>84</v>
      </c>
      <c r="E25" s="48">
        <v>4.0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B1"/>
  </mergeCells>
  <printOptions/>
  <pageMargins bottom="0.75" footer="0.0" header="0.0" left="0.7" right="0.7" top="0.75"/>
  <pageSetup orientation="landscape"/>
  <drawing r:id="rId1"/>
</worksheet>
</file>